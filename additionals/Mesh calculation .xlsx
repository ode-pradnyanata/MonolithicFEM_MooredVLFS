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. Technische Universiteit Delft\1. Offshore and Dredging Engineering\[1] Master Thesis\Julia Code\MonolithicFEM_MooredVLFS\additionals\"/>
    </mc:Choice>
  </mc:AlternateContent>
  <xr:revisionPtr revIDLastSave="0" documentId="13_ncr:1_{A7ABF2C8-5E6B-4C58-97A3-34655B5CBCF5}" xr6:coauthVersionLast="47" xr6:coauthVersionMax="47" xr10:uidLastSave="{00000000-0000-0000-0000-000000000000}"/>
  <bookViews>
    <workbookView xWindow="-98" yWindow="-98" windowWidth="19396" windowHeight="11475" xr2:uid="{7E0506F1-0549-4620-8B8A-9B77B11222C8}"/>
  </bookViews>
  <sheets>
    <sheet name="Lb = 0.1L m (2)" sheetId="7" r:id="rId1"/>
    <sheet name="Lb = 0.1L m" sheetId="6" r:id="rId2"/>
    <sheet name="Lb = 10m" sheetId="4" r:id="rId3"/>
    <sheet name="Lb = 10m (2)" sheetId="5" r:id="rId4"/>
    <sheet name="Lb = 40m" sheetId="2" r:id="rId5"/>
    <sheet name="Sheet1" sheetId="1" r:id="rId6"/>
    <sheet name="Sheet3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8" i="6" l="1"/>
  <c r="O8" i="6"/>
  <c r="N9" i="6"/>
  <c r="N10" i="6"/>
  <c r="N11" i="6"/>
  <c r="N12" i="6"/>
  <c r="N13" i="6"/>
  <c r="N14" i="6"/>
  <c r="N15" i="6"/>
  <c r="O15" i="6" s="1"/>
  <c r="N16" i="6"/>
  <c r="N17" i="6"/>
  <c r="N18" i="6"/>
  <c r="N19" i="6"/>
  <c r="N20" i="6"/>
  <c r="O20" i="6" s="1"/>
  <c r="N21" i="6"/>
  <c r="N22" i="6"/>
  <c r="N23" i="6"/>
  <c r="O23" i="6" s="1"/>
  <c r="N24" i="6"/>
  <c r="O24" i="6" s="1"/>
  <c r="N12" i="7"/>
  <c r="N10" i="7"/>
  <c r="O10" i="7" s="1"/>
  <c r="N8" i="7"/>
  <c r="N9" i="7"/>
  <c r="O9" i="7" s="1"/>
  <c r="N11" i="7"/>
  <c r="O11" i="7" s="1"/>
  <c r="O12" i="7"/>
  <c r="N13" i="7"/>
  <c r="O13" i="7" s="1"/>
  <c r="N14" i="7"/>
  <c r="O14" i="7" s="1"/>
  <c r="N15" i="7"/>
  <c r="O15" i="7" s="1"/>
  <c r="N16" i="7"/>
  <c r="O16" i="7" s="1"/>
  <c r="N17" i="7"/>
  <c r="O17" i="7" s="1"/>
  <c r="P17" i="7" s="1"/>
  <c r="N18" i="7"/>
  <c r="O18" i="7" s="1"/>
  <c r="N19" i="7"/>
  <c r="O19" i="7" s="1"/>
  <c r="N20" i="7"/>
  <c r="O20" i="7" s="1"/>
  <c r="N21" i="7"/>
  <c r="N22" i="7"/>
  <c r="O22" i="7" s="1"/>
  <c r="N23" i="7"/>
  <c r="O23" i="7" s="1"/>
  <c r="N24" i="7"/>
  <c r="N7" i="7"/>
  <c r="O7" i="7" s="1"/>
  <c r="O24" i="7"/>
  <c r="L24" i="7"/>
  <c r="I24" i="7"/>
  <c r="G24" i="7"/>
  <c r="P24" i="7" s="1"/>
  <c r="L23" i="7"/>
  <c r="I23" i="7"/>
  <c r="G23" i="7"/>
  <c r="L22" i="7"/>
  <c r="M22" i="7" s="1"/>
  <c r="I22" i="7"/>
  <c r="J22" i="7" s="1"/>
  <c r="G22" i="7"/>
  <c r="O21" i="7"/>
  <c r="L21" i="7"/>
  <c r="I21" i="7"/>
  <c r="G21" i="7"/>
  <c r="P21" i="7" s="1"/>
  <c r="I20" i="7"/>
  <c r="J20" i="7" s="1"/>
  <c r="G20" i="7"/>
  <c r="I19" i="7"/>
  <c r="G19" i="7"/>
  <c r="J19" i="7" s="1"/>
  <c r="I18" i="7"/>
  <c r="G18" i="7"/>
  <c r="I17" i="7"/>
  <c r="G17" i="7"/>
  <c r="I16" i="7"/>
  <c r="G16" i="7"/>
  <c r="I15" i="7"/>
  <c r="G15" i="7"/>
  <c r="I14" i="7"/>
  <c r="G14" i="7"/>
  <c r="L13" i="7"/>
  <c r="I13" i="7"/>
  <c r="G13" i="7"/>
  <c r="M13" i="7" s="1"/>
  <c r="I12" i="7"/>
  <c r="G12" i="7"/>
  <c r="L11" i="7"/>
  <c r="I11" i="7"/>
  <c r="G11" i="7"/>
  <c r="J11" i="7" s="1"/>
  <c r="G10" i="7"/>
  <c r="J10" i="7" s="1"/>
  <c r="L9" i="7"/>
  <c r="I9" i="7"/>
  <c r="G9" i="7"/>
  <c r="O8" i="7"/>
  <c r="L8" i="7"/>
  <c r="I8" i="7"/>
  <c r="G8" i="7"/>
  <c r="L7" i="7"/>
  <c r="I7" i="7"/>
  <c r="G7" i="7"/>
  <c r="O10" i="6"/>
  <c r="O11" i="6"/>
  <c r="O12" i="6"/>
  <c r="O13" i="6"/>
  <c r="O14" i="6"/>
  <c r="O16" i="6"/>
  <c r="O17" i="6"/>
  <c r="O18" i="6"/>
  <c r="O19" i="6"/>
  <c r="O21" i="6"/>
  <c r="O22" i="6"/>
  <c r="G14" i="6"/>
  <c r="G15" i="6"/>
  <c r="G16" i="6"/>
  <c r="G17" i="6"/>
  <c r="G18" i="6"/>
  <c r="G19" i="6"/>
  <c r="G20" i="6"/>
  <c r="G21" i="6"/>
  <c r="G22" i="6"/>
  <c r="G23" i="6"/>
  <c r="G24" i="6"/>
  <c r="L24" i="6"/>
  <c r="I24" i="6"/>
  <c r="L23" i="6"/>
  <c r="I23" i="6"/>
  <c r="L22" i="6"/>
  <c r="I22" i="6"/>
  <c r="L21" i="6"/>
  <c r="I21" i="6"/>
  <c r="I20" i="6"/>
  <c r="I19" i="6"/>
  <c r="I18" i="6"/>
  <c r="I17" i="6"/>
  <c r="I16" i="6"/>
  <c r="I15" i="6"/>
  <c r="I14" i="6"/>
  <c r="L13" i="6"/>
  <c r="I13" i="6"/>
  <c r="G13" i="6"/>
  <c r="I12" i="6"/>
  <c r="G12" i="6"/>
  <c r="J12" i="6" s="1"/>
  <c r="L11" i="6"/>
  <c r="I11" i="6"/>
  <c r="G11" i="6"/>
  <c r="G10" i="6"/>
  <c r="J10" i="6" s="1"/>
  <c r="O9" i="6"/>
  <c r="L9" i="6"/>
  <c r="I9" i="6"/>
  <c r="G9" i="6"/>
  <c r="L8" i="6"/>
  <c r="I8" i="6"/>
  <c r="G8" i="6"/>
  <c r="O7" i="6"/>
  <c r="L7" i="6"/>
  <c r="I7" i="6"/>
  <c r="G7" i="6"/>
  <c r="N8" i="4"/>
  <c r="N9" i="4"/>
  <c r="N10" i="4"/>
  <c r="N11" i="4"/>
  <c r="N12" i="4"/>
  <c r="N13" i="4"/>
  <c r="N14" i="4"/>
  <c r="N15" i="4"/>
  <c r="N16" i="4"/>
  <c r="N17" i="4"/>
  <c r="N18" i="4"/>
  <c r="O18" i="4" s="1"/>
  <c r="N19" i="4"/>
  <c r="O19" i="4" s="1"/>
  <c r="N20" i="4"/>
  <c r="N21" i="4"/>
  <c r="O21" i="4" s="1"/>
  <c r="N22" i="4"/>
  <c r="O22" i="4" s="1"/>
  <c r="N23" i="4"/>
  <c r="O23" i="4" s="1"/>
  <c r="P23" i="4" s="1"/>
  <c r="N24" i="4"/>
  <c r="N7" i="4"/>
  <c r="N11" i="5"/>
  <c r="N13" i="5"/>
  <c r="N14" i="5"/>
  <c r="N15" i="5"/>
  <c r="N16" i="5"/>
  <c r="N17" i="5"/>
  <c r="O17" i="5" s="1"/>
  <c r="N18" i="5"/>
  <c r="N19" i="5"/>
  <c r="N20" i="5"/>
  <c r="N21" i="5"/>
  <c r="O21" i="5" s="1"/>
  <c r="N22" i="5"/>
  <c r="O22" i="5" s="1"/>
  <c r="P22" i="5" s="1"/>
  <c r="N23" i="5"/>
  <c r="N24" i="5"/>
  <c r="O24" i="5" s="1"/>
  <c r="P24" i="5" s="1"/>
  <c r="N12" i="5"/>
  <c r="O12" i="5" s="1"/>
  <c r="L24" i="5"/>
  <c r="I24" i="5"/>
  <c r="G24" i="5"/>
  <c r="M24" i="5" s="1"/>
  <c r="O23" i="5"/>
  <c r="L23" i="5"/>
  <c r="I23" i="5"/>
  <c r="G23" i="5"/>
  <c r="P23" i="5" s="1"/>
  <c r="L22" i="5"/>
  <c r="M22" i="5" s="1"/>
  <c r="I22" i="5"/>
  <c r="G22" i="5"/>
  <c r="J22" i="5" s="1"/>
  <c r="L21" i="5"/>
  <c r="I21" i="5"/>
  <c r="G21" i="5"/>
  <c r="O20" i="5"/>
  <c r="I20" i="5"/>
  <c r="G20" i="5"/>
  <c r="P20" i="5" s="1"/>
  <c r="O19" i="5"/>
  <c r="P19" i="5" s="1"/>
  <c r="I19" i="5"/>
  <c r="G19" i="5"/>
  <c r="O18" i="5"/>
  <c r="I18" i="5"/>
  <c r="G18" i="5"/>
  <c r="I17" i="5"/>
  <c r="G17" i="5"/>
  <c r="J17" i="5" s="1"/>
  <c r="O16" i="5"/>
  <c r="P16" i="5" s="1"/>
  <c r="I16" i="5"/>
  <c r="G16" i="5"/>
  <c r="J16" i="5" s="1"/>
  <c r="O15" i="5"/>
  <c r="I15" i="5"/>
  <c r="G15" i="5"/>
  <c r="P15" i="5" s="1"/>
  <c r="O14" i="5"/>
  <c r="I14" i="5"/>
  <c r="G14" i="5"/>
  <c r="O13" i="5"/>
  <c r="L13" i="5"/>
  <c r="I13" i="5"/>
  <c r="G13" i="5"/>
  <c r="M13" i="5" s="1"/>
  <c r="I12" i="5"/>
  <c r="G12" i="5"/>
  <c r="O11" i="5"/>
  <c r="L11" i="5"/>
  <c r="I11" i="5"/>
  <c r="G11" i="5"/>
  <c r="O10" i="5"/>
  <c r="G10" i="5"/>
  <c r="J10" i="5" s="1"/>
  <c r="O9" i="5"/>
  <c r="L9" i="5"/>
  <c r="I9" i="5"/>
  <c r="G9" i="5"/>
  <c r="J9" i="5" s="1"/>
  <c r="O8" i="5"/>
  <c r="P8" i="5" s="1"/>
  <c r="L8" i="5"/>
  <c r="M8" i="5" s="1"/>
  <c r="I8" i="5"/>
  <c r="G8" i="5"/>
  <c r="O7" i="5"/>
  <c r="L7" i="5"/>
  <c r="I7" i="5"/>
  <c r="G7" i="5"/>
  <c r="M7" i="5" s="1"/>
  <c r="O22" i="2"/>
  <c r="P22" i="2" s="1"/>
  <c r="M12" i="2"/>
  <c r="M13" i="2"/>
  <c r="M18" i="2"/>
  <c r="L23" i="2"/>
  <c r="M23" i="2" s="1"/>
  <c r="L24" i="2"/>
  <c r="M24" i="2" s="1"/>
  <c r="L25" i="2"/>
  <c r="M25" i="2" s="1"/>
  <c r="L22" i="2"/>
  <c r="M22" i="2" s="1"/>
  <c r="L19" i="2"/>
  <c r="M19" i="2" s="1"/>
  <c r="L20" i="2"/>
  <c r="M20" i="2" s="1"/>
  <c r="L21" i="2"/>
  <c r="M21" i="2" s="1"/>
  <c r="L18" i="2"/>
  <c r="L15" i="2"/>
  <c r="M15" i="2" s="1"/>
  <c r="L16" i="2"/>
  <c r="M16" i="2" s="1"/>
  <c r="L17" i="2"/>
  <c r="M17" i="2" s="1"/>
  <c r="L14" i="2"/>
  <c r="M14" i="2" s="1"/>
  <c r="L12" i="2"/>
  <c r="L13" i="2"/>
  <c r="F22" i="2"/>
  <c r="G22" i="2"/>
  <c r="I22" i="2"/>
  <c r="J10" i="4"/>
  <c r="O24" i="4"/>
  <c r="L24" i="4"/>
  <c r="I24" i="4"/>
  <c r="J24" i="4" s="1"/>
  <c r="G24" i="4"/>
  <c r="L23" i="4"/>
  <c r="M23" i="4" s="1"/>
  <c r="I23" i="4"/>
  <c r="J23" i="4" s="1"/>
  <c r="G23" i="4"/>
  <c r="L22" i="4"/>
  <c r="I22" i="4"/>
  <c r="J22" i="4" s="1"/>
  <c r="G22" i="4"/>
  <c r="L21" i="4"/>
  <c r="I21" i="4"/>
  <c r="J21" i="4" s="1"/>
  <c r="G21" i="4"/>
  <c r="O20" i="4"/>
  <c r="I20" i="4"/>
  <c r="J20" i="4" s="1"/>
  <c r="G20" i="4"/>
  <c r="P20" i="4" s="1"/>
  <c r="I19" i="4"/>
  <c r="G19" i="4"/>
  <c r="I18" i="4"/>
  <c r="G18" i="4"/>
  <c r="O17" i="4"/>
  <c r="I17" i="4"/>
  <c r="J17" i="4" s="1"/>
  <c r="G17" i="4"/>
  <c r="O16" i="4"/>
  <c r="I16" i="4"/>
  <c r="J16" i="4" s="1"/>
  <c r="G16" i="4"/>
  <c r="O15" i="4"/>
  <c r="I15" i="4"/>
  <c r="J15" i="4" s="1"/>
  <c r="G15" i="4"/>
  <c r="O14" i="4"/>
  <c r="I14" i="4"/>
  <c r="J14" i="4" s="1"/>
  <c r="G14" i="4"/>
  <c r="L13" i="4"/>
  <c r="I13" i="4"/>
  <c r="J13" i="4" s="1"/>
  <c r="G13" i="4"/>
  <c r="O12" i="4"/>
  <c r="I12" i="4"/>
  <c r="J12" i="4" s="1"/>
  <c r="G12" i="4"/>
  <c r="O11" i="4"/>
  <c r="L11" i="4"/>
  <c r="I11" i="4"/>
  <c r="G11" i="4"/>
  <c r="O10" i="4"/>
  <c r="G10" i="4"/>
  <c r="P10" i="4" s="1"/>
  <c r="O9" i="4"/>
  <c r="L9" i="4"/>
  <c r="I9" i="4"/>
  <c r="G9" i="4"/>
  <c r="O8" i="4"/>
  <c r="L8" i="4"/>
  <c r="I8" i="4"/>
  <c r="G8" i="4"/>
  <c r="O7" i="4"/>
  <c r="L7" i="4"/>
  <c r="I7" i="4"/>
  <c r="G7" i="4"/>
  <c r="I21" i="2"/>
  <c r="I23" i="2"/>
  <c r="I24" i="2"/>
  <c r="I25" i="2"/>
  <c r="I20" i="2"/>
  <c r="I16" i="2"/>
  <c r="I17" i="2"/>
  <c r="I18" i="2"/>
  <c r="I19" i="2"/>
  <c r="I15" i="2"/>
  <c r="I14" i="2"/>
  <c r="I13" i="2"/>
  <c r="I12" i="2"/>
  <c r="O14" i="2"/>
  <c r="O15" i="2"/>
  <c r="O16" i="2"/>
  <c r="O17" i="2"/>
  <c r="O18" i="2"/>
  <c r="O19" i="2"/>
  <c r="O20" i="2"/>
  <c r="O12" i="2"/>
  <c r="O11" i="2"/>
  <c r="O10" i="2"/>
  <c r="G21" i="2"/>
  <c r="G23" i="2"/>
  <c r="G24" i="2"/>
  <c r="G25" i="2"/>
  <c r="G15" i="2"/>
  <c r="G16" i="2"/>
  <c r="G17" i="2"/>
  <c r="G18" i="2"/>
  <c r="G19" i="2"/>
  <c r="G20" i="2"/>
  <c r="G13" i="2"/>
  <c r="N13" i="2" s="1"/>
  <c r="O13" i="2" s="1"/>
  <c r="P13" i="2" s="1"/>
  <c r="G14" i="2"/>
  <c r="G12" i="2"/>
  <c r="G10" i="2"/>
  <c r="J10" i="2" s="1"/>
  <c r="G11" i="2"/>
  <c r="I11" i="2"/>
  <c r="L11" i="2"/>
  <c r="G8" i="2"/>
  <c r="I8" i="2"/>
  <c r="L8" i="2"/>
  <c r="O8" i="2"/>
  <c r="O23" i="2"/>
  <c r="L9" i="2"/>
  <c r="I9" i="2"/>
  <c r="G9" i="2"/>
  <c r="L7" i="2"/>
  <c r="I7" i="2"/>
  <c r="G7" i="2"/>
  <c r="O7" i="2" s="1"/>
  <c r="P7" i="2" s="1"/>
  <c r="I13" i="1"/>
  <c r="L13" i="1"/>
  <c r="G13" i="1"/>
  <c r="O13" i="1" s="1"/>
  <c r="P13" i="1" s="1"/>
  <c r="L8" i="1"/>
  <c r="L9" i="1"/>
  <c r="L10" i="1"/>
  <c r="L11" i="1"/>
  <c r="L12" i="1"/>
  <c r="L7" i="1"/>
  <c r="I8" i="1"/>
  <c r="I9" i="1"/>
  <c r="I10" i="1"/>
  <c r="I11" i="1"/>
  <c r="I12" i="1"/>
  <c r="I7" i="1"/>
  <c r="G12" i="1"/>
  <c r="G8" i="1"/>
  <c r="G9" i="1"/>
  <c r="N9" i="1" s="1"/>
  <c r="G10" i="1"/>
  <c r="N10" i="1" s="1"/>
  <c r="G11" i="1"/>
  <c r="G7" i="1"/>
  <c r="N7" i="1" s="1"/>
  <c r="J17" i="6" l="1"/>
  <c r="M24" i="6"/>
  <c r="J20" i="6"/>
  <c r="J15" i="6"/>
  <c r="P18" i="7"/>
  <c r="P12" i="7"/>
  <c r="M11" i="7"/>
  <c r="P9" i="7"/>
  <c r="P19" i="7"/>
  <c r="P16" i="7"/>
  <c r="P15" i="7"/>
  <c r="J15" i="7"/>
  <c r="J14" i="7"/>
  <c r="P14" i="7"/>
  <c r="J13" i="7"/>
  <c r="J12" i="7"/>
  <c r="J17" i="7"/>
  <c r="J18" i="7"/>
  <c r="P22" i="7"/>
  <c r="P23" i="7"/>
  <c r="P11" i="7"/>
  <c r="P20" i="7"/>
  <c r="P7" i="7"/>
  <c r="M8" i="7"/>
  <c r="P8" i="7"/>
  <c r="J8" i="7"/>
  <c r="P13" i="7"/>
  <c r="P10" i="7"/>
  <c r="J24" i="7"/>
  <c r="M24" i="7"/>
  <c r="J21" i="7"/>
  <c r="J23" i="7"/>
  <c r="J9" i="7"/>
  <c r="J16" i="7"/>
  <c r="M21" i="7"/>
  <c r="M23" i="7"/>
  <c r="M9" i="7"/>
  <c r="J7" i="7"/>
  <c r="M7" i="7"/>
  <c r="D12" i="6"/>
  <c r="P11" i="6"/>
  <c r="P14" i="6"/>
  <c r="P13" i="6"/>
  <c r="J13" i="6"/>
  <c r="P12" i="6"/>
  <c r="M22" i="6"/>
  <c r="M13" i="6"/>
  <c r="P7" i="6"/>
  <c r="P8" i="6"/>
  <c r="P9" i="6"/>
  <c r="J16" i="6"/>
  <c r="P10" i="6"/>
  <c r="M8" i="6"/>
  <c r="J18" i="6"/>
  <c r="J19" i="6"/>
  <c r="J14" i="6"/>
  <c r="J8" i="6"/>
  <c r="J11" i="6"/>
  <c r="J21" i="6"/>
  <c r="J23" i="6"/>
  <c r="M11" i="6"/>
  <c r="M21" i="6"/>
  <c r="M23" i="6"/>
  <c r="J7" i="6"/>
  <c r="J9" i="6"/>
  <c r="M7" i="6"/>
  <c r="M9" i="6"/>
  <c r="J22" i="6"/>
  <c r="J24" i="6"/>
  <c r="P24" i="4"/>
  <c r="P19" i="4"/>
  <c r="M22" i="4"/>
  <c r="P14" i="4"/>
  <c r="P11" i="5"/>
  <c r="M11" i="5"/>
  <c r="J11" i="5"/>
  <c r="P13" i="5"/>
  <c r="P18" i="5"/>
  <c r="P21" i="5"/>
  <c r="P12" i="5"/>
  <c r="J8" i="5"/>
  <c r="J19" i="5"/>
  <c r="P14" i="5"/>
  <c r="J20" i="5"/>
  <c r="J23" i="5"/>
  <c r="J21" i="5"/>
  <c r="J14" i="5"/>
  <c r="P17" i="5"/>
  <c r="M9" i="5"/>
  <c r="J18" i="5"/>
  <c r="P9" i="5"/>
  <c r="J15" i="5"/>
  <c r="M21" i="5"/>
  <c r="P7" i="5"/>
  <c r="J13" i="5"/>
  <c r="J24" i="5"/>
  <c r="P10" i="5"/>
  <c r="J7" i="5"/>
  <c r="J12" i="5"/>
  <c r="M23" i="5"/>
  <c r="P15" i="4"/>
  <c r="M11" i="4"/>
  <c r="P12" i="4"/>
  <c r="J18" i="4"/>
  <c r="M21" i="4"/>
  <c r="P16" i="4"/>
  <c r="P7" i="4"/>
  <c r="J19" i="4"/>
  <c r="P17" i="4"/>
  <c r="J22" i="2"/>
  <c r="P8" i="2"/>
  <c r="J17" i="2"/>
  <c r="P11" i="2"/>
  <c r="M8" i="2"/>
  <c r="J14" i="2"/>
  <c r="J16" i="2"/>
  <c r="J9" i="2"/>
  <c r="J21" i="2"/>
  <c r="J20" i="2"/>
  <c r="J23" i="2"/>
  <c r="J11" i="2"/>
  <c r="J25" i="2"/>
  <c r="J24" i="2"/>
  <c r="J12" i="2"/>
  <c r="J15" i="2"/>
  <c r="J13" i="2"/>
  <c r="J19" i="2"/>
  <c r="J18" i="2"/>
  <c r="P23" i="2"/>
  <c r="M9" i="4"/>
  <c r="P8" i="4"/>
  <c r="P18" i="4"/>
  <c r="M13" i="4"/>
  <c r="O13" i="4"/>
  <c r="P13" i="4" s="1"/>
  <c r="J8" i="4"/>
  <c r="J11" i="4"/>
  <c r="P11" i="4"/>
  <c r="M8" i="4"/>
  <c r="P21" i="4"/>
  <c r="J9" i="4"/>
  <c r="M7" i="4"/>
  <c r="P9" i="4"/>
  <c r="P22" i="4"/>
  <c r="M24" i="4"/>
  <c r="J7" i="4"/>
  <c r="P15" i="2"/>
  <c r="P14" i="2"/>
  <c r="P18" i="2"/>
  <c r="P20" i="2"/>
  <c r="P19" i="2"/>
  <c r="P17" i="2"/>
  <c r="P12" i="2"/>
  <c r="P16" i="2"/>
  <c r="P10" i="2"/>
  <c r="J8" i="2"/>
  <c r="M11" i="2"/>
  <c r="M13" i="1"/>
  <c r="O10" i="1"/>
  <c r="P10" i="1" s="1"/>
  <c r="J13" i="1"/>
  <c r="N8" i="1"/>
  <c r="O8" i="1" s="1"/>
  <c r="P8" i="1" s="1"/>
  <c r="O9" i="1"/>
  <c r="P9" i="1" s="1"/>
  <c r="M9" i="2"/>
  <c r="O9" i="2"/>
  <c r="P9" i="2" s="1"/>
  <c r="O21" i="2"/>
  <c r="P21" i="2" s="1"/>
  <c r="O24" i="2"/>
  <c r="P24" i="2" s="1"/>
  <c r="J7" i="2"/>
  <c r="M7" i="2"/>
  <c r="O25" i="2"/>
  <c r="P25" i="2" s="1"/>
  <c r="J7" i="1"/>
  <c r="M12" i="1"/>
  <c r="M8" i="1"/>
  <c r="M9" i="1"/>
  <c r="M10" i="1"/>
  <c r="M11" i="1"/>
  <c r="J12" i="1"/>
  <c r="J11" i="1"/>
  <c r="J10" i="1"/>
  <c r="J8" i="1"/>
  <c r="O12" i="1"/>
  <c r="P12" i="1" s="1"/>
  <c r="O11" i="1"/>
  <c r="P11" i="1" s="1"/>
  <c r="J9" i="1"/>
  <c r="M7" i="1"/>
  <c r="O7" i="1"/>
  <c r="P7" i="1" s="1"/>
  <c r="P15" i="6" l="1"/>
  <c r="P16" i="6" l="1"/>
  <c r="P17" i="6" l="1"/>
  <c r="P18" i="6" l="1"/>
  <c r="P19" i="6" l="1"/>
  <c r="P20" i="6" l="1"/>
  <c r="P21" i="6" l="1"/>
  <c r="P22" i="6" l="1"/>
  <c r="P23" i="6" l="1"/>
  <c r="P24" i="6"/>
</calcChain>
</file>

<file path=xl/sharedStrings.xml><?xml version="1.0" encoding="utf-8"?>
<sst xmlns="http://schemas.openxmlformats.org/spreadsheetml/2006/main" count="102" uniqueCount="10">
  <si>
    <t>nx</t>
  </si>
  <si>
    <t>n-elem</t>
  </si>
  <si>
    <t>Lb</t>
  </si>
  <si>
    <t>m</t>
  </si>
  <si>
    <t>H</t>
  </si>
  <si>
    <t>ny</t>
  </si>
  <si>
    <t>ratio</t>
  </si>
  <si>
    <t>mesh size</t>
  </si>
  <si>
    <t>ny - squared</t>
  </si>
  <si>
    <t>ny - mapped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</si>
</sst>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"/>
    <numFmt numFmtId="166" formatCode="0.00000000000"/>
    <numFmt numFmtId="167" formatCode="0.00000"/>
    <numFmt numFmtId="168" formatCode="0.00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1" fontId="0" fillId="0" borderId="0" xfId="0" applyNumberFormat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  <xf numFmtId="0" fontId="0" fillId="2" borderId="1" xfId="0" applyFill="1" applyBorder="1"/>
    <xf numFmtId="164" fontId="0" fillId="2" borderId="1" xfId="0" applyNumberFormat="1" applyFill="1" applyBorder="1"/>
    <xf numFmtId="0" fontId="0" fillId="0" borderId="0" xfId="0" applyAlignment="1">
      <alignment horizontal="center"/>
    </xf>
    <xf numFmtId="167" fontId="0" fillId="0" borderId="1" xfId="0" applyNumberFormat="1" applyBorder="1"/>
    <xf numFmtId="168" fontId="0" fillId="0" borderId="1" xfId="0" applyNumberFormat="1" applyBorder="1"/>
    <xf numFmtId="168" fontId="0" fillId="2" borderId="1" xfId="0" applyNumberFormat="1" applyFill="1" applyBorder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1DABF-FEAF-49CD-A4BC-AB8AAE810521}">
  <dimension ref="D2:P31"/>
  <sheetViews>
    <sheetView tabSelected="1" workbookViewId="0">
      <selection activeCell="D16" sqref="D16"/>
    </sheetView>
  </sheetViews>
  <sheetFormatPr defaultRowHeight="14.25" x14ac:dyDescent="0.45"/>
  <cols>
    <col min="7" max="7" width="14.796875" customWidth="1"/>
    <col min="8" max="12" width="9.06640625" hidden="1" customWidth="1"/>
    <col min="13" max="13" width="4.3984375" hidden="1" customWidth="1"/>
  </cols>
  <sheetData>
    <row r="2" spans="6:16" x14ac:dyDescent="0.45">
      <c r="F2" t="s">
        <v>2</v>
      </c>
      <c r="G2">
        <v>0.36770000000000003</v>
      </c>
      <c r="H2" t="s">
        <v>3</v>
      </c>
    </row>
    <row r="3" spans="6:16" x14ac:dyDescent="0.45">
      <c r="F3" t="s">
        <v>4</v>
      </c>
      <c r="G3">
        <v>1.1000000000000001</v>
      </c>
      <c r="H3" t="s">
        <v>3</v>
      </c>
    </row>
    <row r="5" spans="6:16" x14ac:dyDescent="0.45">
      <c r="F5" s="16" t="s">
        <v>0</v>
      </c>
      <c r="G5" s="16"/>
      <c r="H5" s="16" t="s">
        <v>5</v>
      </c>
      <c r="I5" s="16"/>
      <c r="J5" s="16" t="s">
        <v>6</v>
      </c>
      <c r="K5" s="16" t="s">
        <v>9</v>
      </c>
      <c r="L5" s="16"/>
      <c r="M5" s="16" t="s">
        <v>6</v>
      </c>
      <c r="N5" s="16" t="s">
        <v>8</v>
      </c>
      <c r="O5" s="16"/>
      <c r="P5" s="16" t="s">
        <v>6</v>
      </c>
    </row>
    <row r="6" spans="6:16" x14ac:dyDescent="0.45">
      <c r="F6" s="1" t="s">
        <v>1</v>
      </c>
      <c r="G6" s="1" t="s">
        <v>7</v>
      </c>
      <c r="H6" s="1" t="s">
        <v>1</v>
      </c>
      <c r="I6" s="1">
        <v>2.5</v>
      </c>
      <c r="J6" s="16"/>
      <c r="K6" s="1" t="s">
        <v>1</v>
      </c>
      <c r="L6" s="5">
        <v>2</v>
      </c>
      <c r="M6" s="16"/>
      <c r="N6" s="1" t="s">
        <v>1</v>
      </c>
      <c r="O6" s="1" t="s">
        <v>7</v>
      </c>
      <c r="P6" s="16"/>
    </row>
    <row r="7" spans="6:16" x14ac:dyDescent="0.45">
      <c r="F7" s="2">
        <v>2</v>
      </c>
      <c r="G7" s="13">
        <f t="shared" ref="G7:G24" si="0">$G$2/F7</f>
        <v>0.18385000000000001</v>
      </c>
      <c r="H7" s="2">
        <v>2</v>
      </c>
      <c r="I7" s="3">
        <f>$G$3/($I$6^(H7-1))</f>
        <v>0.44000000000000006</v>
      </c>
      <c r="J7" s="3">
        <f>G7/I7</f>
        <v>0.41784090909090904</v>
      </c>
      <c r="K7" s="2">
        <v>2</v>
      </c>
      <c r="L7" s="3">
        <f>$G$3/($L$6^(K7-1))</f>
        <v>0.55000000000000004</v>
      </c>
      <c r="M7" s="3">
        <f>$G7/L7</f>
        <v>0.33427272727272728</v>
      </c>
      <c r="N7" s="2">
        <f>3*F7</f>
        <v>6</v>
      </c>
      <c r="O7" s="3">
        <f>$G$3/N7</f>
        <v>0.18333333333333335</v>
      </c>
      <c r="P7" s="3">
        <f>$G7/O7</f>
        <v>1.0028181818181818</v>
      </c>
    </row>
    <row r="8" spans="6:16" x14ac:dyDescent="0.45">
      <c r="F8" s="2">
        <v>3</v>
      </c>
      <c r="G8" s="13">
        <f t="shared" si="0"/>
        <v>0.12256666666666667</v>
      </c>
      <c r="H8" s="2">
        <v>3</v>
      </c>
      <c r="I8" s="3">
        <f>$G$3/($I$6^(H8-1))</f>
        <v>0.17600000000000002</v>
      </c>
      <c r="J8" s="3">
        <f>G8/I8</f>
        <v>0.69640151515151516</v>
      </c>
      <c r="K8" s="2">
        <v>3</v>
      </c>
      <c r="L8" s="3">
        <f>$G$3/($L$6^(K8-1))</f>
        <v>0.27500000000000002</v>
      </c>
      <c r="M8" s="3">
        <f>$G8/L8</f>
        <v>0.4456969696969697</v>
      </c>
      <c r="N8" s="2">
        <f t="shared" ref="N8:N24" si="1">3*F8</f>
        <v>9</v>
      </c>
      <c r="O8" s="3">
        <f>$G$3/N8</f>
        <v>0.12222222222222223</v>
      </c>
      <c r="P8" s="3">
        <f>$G8/O8</f>
        <v>1.0028181818181818</v>
      </c>
    </row>
    <row r="9" spans="6:16" x14ac:dyDescent="0.45">
      <c r="F9" s="2">
        <v>4</v>
      </c>
      <c r="G9" s="14">
        <f t="shared" si="0"/>
        <v>9.1925000000000007E-2</v>
      </c>
      <c r="H9" s="2">
        <v>3</v>
      </c>
      <c r="I9" s="3">
        <f>$G$3/($I$6^(H9-1))</f>
        <v>0.17600000000000002</v>
      </c>
      <c r="J9" s="3">
        <f t="shared" ref="J9:J24" si="2">G9/I9</f>
        <v>0.5223011363636364</v>
      </c>
      <c r="K9" s="2">
        <v>3</v>
      </c>
      <c r="L9" s="3">
        <f>$G$3/($L$6^(K9-1))</f>
        <v>0.27500000000000002</v>
      </c>
      <c r="M9" s="3">
        <f>$G9/L9</f>
        <v>0.33427272727272728</v>
      </c>
      <c r="N9" s="2">
        <f t="shared" si="1"/>
        <v>12</v>
      </c>
      <c r="O9" s="3">
        <f t="shared" ref="O9:O24" si="3">$G$3/N9</f>
        <v>9.1666666666666674E-2</v>
      </c>
      <c r="P9" s="3">
        <f t="shared" ref="P9:P24" si="4">$G9/O9</f>
        <v>1.0028181818181818</v>
      </c>
    </row>
    <row r="10" spans="6:16" x14ac:dyDescent="0.45">
      <c r="F10" s="2">
        <v>8</v>
      </c>
      <c r="G10" s="14">
        <f t="shared" si="0"/>
        <v>4.5962500000000003E-2</v>
      </c>
      <c r="H10" s="2"/>
      <c r="I10" s="3"/>
      <c r="J10" s="3" t="e">
        <f t="shared" si="2"/>
        <v>#DIV/0!</v>
      </c>
      <c r="K10" s="2"/>
      <c r="L10" s="3"/>
      <c r="M10" s="3"/>
      <c r="N10" s="2">
        <f t="shared" si="1"/>
        <v>24</v>
      </c>
      <c r="O10" s="3">
        <f t="shared" si="3"/>
        <v>4.5833333333333337E-2</v>
      </c>
      <c r="P10" s="3">
        <f t="shared" si="4"/>
        <v>1.0028181818181818</v>
      </c>
    </row>
    <row r="11" spans="6:16" x14ac:dyDescent="0.45">
      <c r="F11" s="2">
        <v>16</v>
      </c>
      <c r="G11" s="14">
        <f t="shared" si="0"/>
        <v>2.2981250000000002E-2</v>
      </c>
      <c r="H11" s="10">
        <v>5</v>
      </c>
      <c r="I11" s="11">
        <f t="shared" ref="I11:I24" si="5">$G$3/($I$6^(H11-1))</f>
        <v>2.8160000000000001E-2</v>
      </c>
      <c r="J11" s="11">
        <f t="shared" si="2"/>
        <v>0.81609552556818188</v>
      </c>
      <c r="K11" s="2">
        <v>4</v>
      </c>
      <c r="L11" s="3">
        <f>$G$3/($L$6^(K11-1))</f>
        <v>0.13750000000000001</v>
      </c>
      <c r="M11" s="3">
        <f>$G11/L11</f>
        <v>0.16713636363636364</v>
      </c>
      <c r="N11" s="2">
        <f t="shared" si="1"/>
        <v>48</v>
      </c>
      <c r="O11" s="3">
        <f t="shared" si="3"/>
        <v>2.2916666666666669E-2</v>
      </c>
      <c r="P11" s="3">
        <f t="shared" si="4"/>
        <v>1.0028181818181818</v>
      </c>
    </row>
    <row r="12" spans="6:16" x14ac:dyDescent="0.45">
      <c r="F12" s="10">
        <v>20</v>
      </c>
      <c r="G12" s="15">
        <f t="shared" si="0"/>
        <v>1.8385000000000002E-2</v>
      </c>
      <c r="H12" s="2">
        <v>5</v>
      </c>
      <c r="I12" s="3">
        <f t="shared" si="5"/>
        <v>2.8160000000000001E-2</v>
      </c>
      <c r="J12" s="3">
        <f t="shared" si="2"/>
        <v>0.65287642045454553</v>
      </c>
      <c r="K12" s="2"/>
      <c r="L12" s="3"/>
      <c r="M12" s="3"/>
      <c r="N12" s="2">
        <f t="shared" si="1"/>
        <v>60</v>
      </c>
      <c r="O12" s="3">
        <f t="shared" si="3"/>
        <v>1.8333333333333333E-2</v>
      </c>
      <c r="P12" s="3">
        <f t="shared" si="4"/>
        <v>1.0028181818181818</v>
      </c>
    </row>
    <row r="13" spans="6:16" x14ac:dyDescent="0.45">
      <c r="F13" s="2">
        <v>24</v>
      </c>
      <c r="G13" s="14">
        <f t="shared" si="0"/>
        <v>1.5320833333333334E-2</v>
      </c>
      <c r="H13" s="2">
        <v>5</v>
      </c>
      <c r="I13" s="3">
        <f t="shared" si="5"/>
        <v>2.8160000000000001E-2</v>
      </c>
      <c r="J13" s="3">
        <f t="shared" si="2"/>
        <v>0.54406368371212122</v>
      </c>
      <c r="K13" s="2">
        <v>4</v>
      </c>
      <c r="L13" s="3">
        <f>$G$3/($L$6^(K13-1))</f>
        <v>0.13750000000000001</v>
      </c>
      <c r="M13" s="3">
        <f>$G13/L13</f>
        <v>0.11142424242424243</v>
      </c>
      <c r="N13" s="2">
        <f t="shared" si="1"/>
        <v>72</v>
      </c>
      <c r="O13" s="3">
        <f t="shared" si="3"/>
        <v>1.5277777777777779E-2</v>
      </c>
      <c r="P13" s="3">
        <f t="shared" si="4"/>
        <v>1.0028181818181818</v>
      </c>
    </row>
    <row r="14" spans="6:16" x14ac:dyDescent="0.45">
      <c r="F14" s="2">
        <v>32</v>
      </c>
      <c r="G14" s="14">
        <f t="shared" si="0"/>
        <v>1.1490625000000001E-2</v>
      </c>
      <c r="H14" s="2">
        <v>5</v>
      </c>
      <c r="I14" s="3">
        <f t="shared" si="5"/>
        <v>2.8160000000000001E-2</v>
      </c>
      <c r="J14" s="3">
        <f t="shared" si="2"/>
        <v>0.40804776278409094</v>
      </c>
      <c r="K14" s="2"/>
      <c r="L14" s="3"/>
      <c r="M14" s="3"/>
      <c r="N14" s="2">
        <f t="shared" si="1"/>
        <v>96</v>
      </c>
      <c r="O14" s="3">
        <f t="shared" si="3"/>
        <v>1.1458333333333334E-2</v>
      </c>
      <c r="P14" s="3">
        <f t="shared" si="4"/>
        <v>1.0028181818181818</v>
      </c>
    </row>
    <row r="15" spans="6:16" x14ac:dyDescent="0.45">
      <c r="F15" s="2">
        <v>40</v>
      </c>
      <c r="G15" s="13">
        <f t="shared" si="0"/>
        <v>9.192500000000001E-3</v>
      </c>
      <c r="H15" s="2">
        <v>5</v>
      </c>
      <c r="I15" s="3">
        <f t="shared" si="5"/>
        <v>2.8160000000000001E-2</v>
      </c>
      <c r="J15" s="3">
        <f t="shared" si="2"/>
        <v>0.32643821022727276</v>
      </c>
      <c r="K15" s="2"/>
      <c r="L15" s="3"/>
      <c r="M15" s="3"/>
      <c r="N15" s="2">
        <f t="shared" si="1"/>
        <v>120</v>
      </c>
      <c r="O15" s="3">
        <f t="shared" si="3"/>
        <v>9.1666666666666667E-3</v>
      </c>
      <c r="P15" s="3">
        <f t="shared" si="4"/>
        <v>1.0028181818181818</v>
      </c>
    </row>
    <row r="16" spans="6:16" x14ac:dyDescent="0.45">
      <c r="F16" s="2">
        <v>128</v>
      </c>
      <c r="G16" s="13">
        <f t="shared" si="0"/>
        <v>2.8726562500000002E-3</v>
      </c>
      <c r="H16" s="2">
        <v>5</v>
      </c>
      <c r="I16" s="3">
        <f t="shared" si="5"/>
        <v>2.8160000000000001E-2</v>
      </c>
      <c r="J16" s="3">
        <f t="shared" si="2"/>
        <v>0.10201194069602273</v>
      </c>
      <c r="K16" s="2"/>
      <c r="L16" s="3"/>
      <c r="M16" s="3"/>
      <c r="N16" s="2">
        <f t="shared" si="1"/>
        <v>384</v>
      </c>
      <c r="O16" s="3">
        <f t="shared" si="3"/>
        <v>2.8645833333333336E-3</v>
      </c>
      <c r="P16" s="3">
        <f t="shared" si="4"/>
        <v>1.0028181818181818</v>
      </c>
    </row>
    <row r="17" spans="4:16" x14ac:dyDescent="0.45">
      <c r="F17" s="2">
        <v>256</v>
      </c>
      <c r="G17" s="13">
        <f t="shared" si="0"/>
        <v>1.4363281250000001E-3</v>
      </c>
      <c r="H17" s="2">
        <v>5</v>
      </c>
      <c r="I17" s="3">
        <f t="shared" si="5"/>
        <v>2.8160000000000001E-2</v>
      </c>
      <c r="J17" s="3">
        <f t="shared" si="2"/>
        <v>5.1005970348011367E-2</v>
      </c>
      <c r="K17" s="2"/>
      <c r="L17" s="3"/>
      <c r="M17" s="3"/>
      <c r="N17" s="2">
        <f t="shared" si="1"/>
        <v>768</v>
      </c>
      <c r="O17" s="3">
        <f t="shared" si="3"/>
        <v>1.4322916666666668E-3</v>
      </c>
      <c r="P17" s="3">
        <f t="shared" si="4"/>
        <v>1.0028181818181818</v>
      </c>
    </row>
    <row r="18" spans="4:16" x14ac:dyDescent="0.45">
      <c r="F18" s="2">
        <v>512</v>
      </c>
      <c r="G18" s="13">
        <f t="shared" si="0"/>
        <v>7.1816406250000005E-4</v>
      </c>
      <c r="H18" s="2">
        <v>5</v>
      </c>
      <c r="I18" s="3">
        <f t="shared" si="5"/>
        <v>2.8160000000000001E-2</v>
      </c>
      <c r="J18" s="3">
        <f t="shared" si="2"/>
        <v>2.5502985174005684E-2</v>
      </c>
      <c r="K18" s="2"/>
      <c r="L18" s="3"/>
      <c r="M18" s="3"/>
      <c r="N18" s="2">
        <f t="shared" si="1"/>
        <v>1536</v>
      </c>
      <c r="O18" s="3">
        <f t="shared" si="3"/>
        <v>7.1614583333333339E-4</v>
      </c>
      <c r="P18" s="3">
        <f t="shared" si="4"/>
        <v>1.0028181818181818</v>
      </c>
    </row>
    <row r="19" spans="4:16" x14ac:dyDescent="0.45">
      <c r="F19" s="2">
        <v>1024</v>
      </c>
      <c r="G19" s="13">
        <f t="shared" si="0"/>
        <v>3.5908203125000003E-4</v>
      </c>
      <c r="H19" s="2">
        <v>5</v>
      </c>
      <c r="I19" s="3">
        <f t="shared" si="5"/>
        <v>2.8160000000000001E-2</v>
      </c>
      <c r="J19" s="3">
        <f t="shared" si="2"/>
        <v>1.2751492587002842E-2</v>
      </c>
      <c r="K19" s="2"/>
      <c r="L19" s="3"/>
      <c r="M19" s="3"/>
      <c r="N19" s="2">
        <f t="shared" si="1"/>
        <v>3072</v>
      </c>
      <c r="O19" s="3">
        <f t="shared" si="3"/>
        <v>3.580729166666667E-4</v>
      </c>
      <c r="P19" s="3">
        <f t="shared" si="4"/>
        <v>1.0028181818181818</v>
      </c>
    </row>
    <row r="20" spans="4:16" x14ac:dyDescent="0.45">
      <c r="F20" s="2">
        <v>120</v>
      </c>
      <c r="G20" s="13">
        <f t="shared" si="0"/>
        <v>3.0641666666666669E-3</v>
      </c>
      <c r="H20" s="2">
        <v>5</v>
      </c>
      <c r="I20" s="3">
        <f t="shared" si="5"/>
        <v>2.8160000000000001E-2</v>
      </c>
      <c r="J20" s="3">
        <f t="shared" si="2"/>
        <v>0.10881273674242424</v>
      </c>
      <c r="K20" s="2"/>
      <c r="L20" s="3"/>
      <c r="M20" s="3"/>
      <c r="N20" s="2">
        <f t="shared" si="1"/>
        <v>360</v>
      </c>
      <c r="O20" s="3">
        <f t="shared" si="3"/>
        <v>3.0555555555555557E-3</v>
      </c>
      <c r="P20" s="3">
        <f t="shared" si="4"/>
        <v>1.0028181818181818</v>
      </c>
    </row>
    <row r="21" spans="4:16" x14ac:dyDescent="0.45">
      <c r="F21" s="2">
        <v>128</v>
      </c>
      <c r="G21" s="13">
        <f t="shared" si="0"/>
        <v>2.8726562500000002E-3</v>
      </c>
      <c r="H21" s="2">
        <v>5</v>
      </c>
      <c r="I21" s="3">
        <f t="shared" si="5"/>
        <v>2.8160000000000001E-2</v>
      </c>
      <c r="J21" s="3">
        <f t="shared" si="2"/>
        <v>0.10201194069602273</v>
      </c>
      <c r="K21" s="2">
        <v>5</v>
      </c>
      <c r="L21" s="3">
        <f>$G$3/($L$6^(K21-1))</f>
        <v>6.8750000000000006E-2</v>
      </c>
      <c r="M21" s="3">
        <f>$G21/L21</f>
        <v>4.178409090909091E-2</v>
      </c>
      <c r="N21" s="2">
        <f t="shared" si="1"/>
        <v>384</v>
      </c>
      <c r="O21" s="3">
        <f t="shared" si="3"/>
        <v>2.8645833333333336E-3</v>
      </c>
      <c r="P21" s="3">
        <f t="shared" si="4"/>
        <v>1.0028181818181818</v>
      </c>
    </row>
    <row r="22" spans="4:16" x14ac:dyDescent="0.45">
      <c r="F22" s="2">
        <v>256</v>
      </c>
      <c r="G22" s="13">
        <f t="shared" si="0"/>
        <v>1.4363281250000001E-3</v>
      </c>
      <c r="H22" s="2">
        <v>5</v>
      </c>
      <c r="I22" s="3">
        <f t="shared" si="5"/>
        <v>2.8160000000000001E-2</v>
      </c>
      <c r="J22" s="3">
        <f t="shared" si="2"/>
        <v>5.1005970348011367E-2</v>
      </c>
      <c r="K22" s="2">
        <v>6</v>
      </c>
      <c r="L22" s="3">
        <f>$G$3/($L$6^(K22-1))</f>
        <v>3.4375000000000003E-2</v>
      </c>
      <c r="M22" s="3">
        <f>$G22/L22</f>
        <v>4.178409090909091E-2</v>
      </c>
      <c r="N22" s="2">
        <f t="shared" si="1"/>
        <v>768</v>
      </c>
      <c r="O22" s="3">
        <f t="shared" si="3"/>
        <v>1.4322916666666668E-3</v>
      </c>
      <c r="P22" s="3">
        <f t="shared" si="4"/>
        <v>1.0028181818181818</v>
      </c>
    </row>
    <row r="23" spans="4:16" x14ac:dyDescent="0.45">
      <c r="F23" s="2">
        <v>512</v>
      </c>
      <c r="G23" s="13">
        <f t="shared" si="0"/>
        <v>7.1816406250000005E-4</v>
      </c>
      <c r="H23" s="2">
        <v>6</v>
      </c>
      <c r="I23" s="3">
        <f t="shared" si="5"/>
        <v>1.1264000000000001E-2</v>
      </c>
      <c r="J23" s="3">
        <f t="shared" si="2"/>
        <v>6.3757462935014206E-2</v>
      </c>
      <c r="K23" s="2">
        <v>7</v>
      </c>
      <c r="L23" s="3">
        <f>$G$3/($L$6^(K23-1))</f>
        <v>1.7187500000000001E-2</v>
      </c>
      <c r="M23" s="3">
        <f>$G23/L23</f>
        <v>4.178409090909091E-2</v>
      </c>
      <c r="N23" s="2">
        <f t="shared" si="1"/>
        <v>1536</v>
      </c>
      <c r="O23" s="3">
        <f t="shared" si="3"/>
        <v>7.1614583333333339E-4</v>
      </c>
      <c r="P23" s="3">
        <f t="shared" si="4"/>
        <v>1.0028181818181818</v>
      </c>
    </row>
    <row r="24" spans="4:16" x14ac:dyDescent="0.45">
      <c r="F24" s="2">
        <v>1024</v>
      </c>
      <c r="G24" s="13">
        <f t="shared" si="0"/>
        <v>3.5908203125000003E-4</v>
      </c>
      <c r="H24" s="2">
        <v>6</v>
      </c>
      <c r="I24" s="3">
        <f t="shared" si="5"/>
        <v>1.1264000000000001E-2</v>
      </c>
      <c r="J24" s="3">
        <f t="shared" si="2"/>
        <v>3.1878731467507103E-2</v>
      </c>
      <c r="K24" s="2">
        <v>8</v>
      </c>
      <c r="L24" s="3">
        <f>$G$3/($L$6^(K24-1))</f>
        <v>8.5937500000000007E-3</v>
      </c>
      <c r="M24" s="3">
        <f>$G24/L24</f>
        <v>4.178409090909091E-2</v>
      </c>
      <c r="N24" s="2">
        <f t="shared" si="1"/>
        <v>3072</v>
      </c>
      <c r="O24" s="3">
        <f t="shared" si="3"/>
        <v>3.580729166666667E-4</v>
      </c>
      <c r="P24" s="3">
        <f t="shared" si="4"/>
        <v>1.0028181818181818</v>
      </c>
    </row>
    <row r="25" spans="4:16" x14ac:dyDescent="0.45">
      <c r="G25" s="4"/>
      <c r="P25" s="3"/>
    </row>
    <row r="26" spans="4:16" x14ac:dyDescent="0.45">
      <c r="D26" s="12"/>
      <c r="E26" s="12"/>
      <c r="F26" s="12"/>
    </row>
    <row r="27" spans="4:16" x14ac:dyDescent="0.45">
      <c r="D27" s="12"/>
      <c r="E27" s="12"/>
      <c r="F27" s="12"/>
      <c r="I27" s="7"/>
    </row>
    <row r="28" spans="4:16" x14ac:dyDescent="0.45">
      <c r="I28" s="7"/>
      <c r="J28" s="7"/>
    </row>
    <row r="29" spans="4:16" x14ac:dyDescent="0.45">
      <c r="D29" s="8"/>
      <c r="F29" s="4"/>
      <c r="G29" s="4"/>
      <c r="I29" s="7"/>
      <c r="J29" s="7"/>
    </row>
    <row r="30" spans="4:16" x14ac:dyDescent="0.45">
      <c r="F30" s="4"/>
      <c r="G30" s="4"/>
      <c r="I30" s="7"/>
      <c r="J30" s="7"/>
    </row>
    <row r="31" spans="4:16" x14ac:dyDescent="0.45">
      <c r="F31" s="4"/>
      <c r="G31" s="4"/>
      <c r="I31" s="7"/>
      <c r="J31" s="7"/>
    </row>
  </sheetData>
  <mergeCells count="7">
    <mergeCell ref="P5:P6"/>
    <mergeCell ref="F5:G5"/>
    <mergeCell ref="H5:I5"/>
    <mergeCell ref="J5:J6"/>
    <mergeCell ref="K5:L5"/>
    <mergeCell ref="M5:M6"/>
    <mergeCell ref="N5:O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2EE61-E42E-49D6-8AE5-2B08ACBEAEA4}">
  <dimension ref="D2:P24"/>
  <sheetViews>
    <sheetView workbookViewId="0">
      <selection activeCell="R37" sqref="R37"/>
    </sheetView>
  </sheetViews>
  <sheetFormatPr defaultRowHeight="14.25" x14ac:dyDescent="0.45"/>
  <cols>
    <col min="7" max="7" width="14.796875" customWidth="1"/>
    <col min="8" max="12" width="9.06640625" hidden="1" customWidth="1"/>
    <col min="13" max="13" width="4.3984375" hidden="1" customWidth="1"/>
  </cols>
  <sheetData>
    <row r="2" spans="4:16" x14ac:dyDescent="0.45">
      <c r="F2" t="s">
        <v>2</v>
      </c>
      <c r="G2">
        <v>0.06</v>
      </c>
      <c r="H2" t="s">
        <v>3</v>
      </c>
    </row>
    <row r="3" spans="4:16" x14ac:dyDescent="0.45">
      <c r="F3" t="s">
        <v>4</v>
      </c>
      <c r="G3">
        <v>1.1000000000000001</v>
      </c>
      <c r="H3" t="s">
        <v>3</v>
      </c>
    </row>
    <row r="5" spans="4:16" x14ac:dyDescent="0.45">
      <c r="F5" s="16" t="s">
        <v>0</v>
      </c>
      <c r="G5" s="16"/>
      <c r="H5" s="16" t="s">
        <v>5</v>
      </c>
      <c r="I5" s="16"/>
      <c r="J5" s="16" t="s">
        <v>6</v>
      </c>
      <c r="K5" s="16" t="s">
        <v>9</v>
      </c>
      <c r="L5" s="16"/>
      <c r="M5" s="16" t="s">
        <v>6</v>
      </c>
      <c r="N5" s="16" t="s">
        <v>8</v>
      </c>
      <c r="O5" s="16"/>
      <c r="P5" s="16" t="s">
        <v>6</v>
      </c>
    </row>
    <row r="6" spans="4:16" x14ac:dyDescent="0.45">
      <c r="F6" s="1" t="s">
        <v>1</v>
      </c>
      <c r="G6" s="1" t="s">
        <v>7</v>
      </c>
      <c r="H6" s="1" t="s">
        <v>1</v>
      </c>
      <c r="I6" s="1">
        <v>2.5</v>
      </c>
      <c r="J6" s="16"/>
      <c r="K6" s="1" t="s">
        <v>1</v>
      </c>
      <c r="L6" s="5">
        <v>2</v>
      </c>
      <c r="M6" s="16"/>
      <c r="N6" s="1" t="s">
        <v>1</v>
      </c>
      <c r="O6" s="1" t="s">
        <v>7</v>
      </c>
      <c r="P6" s="16"/>
    </row>
    <row r="7" spans="4:16" x14ac:dyDescent="0.45">
      <c r="F7" s="2">
        <v>2</v>
      </c>
      <c r="G7" s="13">
        <f t="shared" ref="G7:G24" si="0">$G$2/F7</f>
        <v>0.03</v>
      </c>
      <c r="H7" s="2">
        <v>2</v>
      </c>
      <c r="I7" s="3">
        <f>$G$3/($I$6^(H7-1))</f>
        <v>0.44000000000000006</v>
      </c>
      <c r="J7" s="3">
        <f>G7/I7</f>
        <v>6.8181818181818177E-2</v>
      </c>
      <c r="K7" s="2">
        <v>2</v>
      </c>
      <c r="L7" s="3">
        <f>$G$3/($L$6^(K7-1))</f>
        <v>0.55000000000000004</v>
      </c>
      <c r="M7" s="3">
        <f>$G7/L7</f>
        <v>5.4545454545454536E-2</v>
      </c>
      <c r="N7" s="2">
        <v>36</v>
      </c>
      <c r="O7" s="3">
        <f>$G$3/N7</f>
        <v>3.0555555555555558E-2</v>
      </c>
      <c r="P7" s="3">
        <f>$G7/O7</f>
        <v>0.9818181818181817</v>
      </c>
    </row>
    <row r="8" spans="4:16" x14ac:dyDescent="0.45">
      <c r="F8" s="2">
        <v>3</v>
      </c>
      <c r="G8" s="13">
        <f t="shared" si="0"/>
        <v>0.02</v>
      </c>
      <c r="H8" s="2">
        <v>3</v>
      </c>
      <c r="I8" s="3">
        <f>$G$3/($I$6^(H8-1))</f>
        <v>0.17600000000000002</v>
      </c>
      <c r="J8" s="3">
        <f>G8/I8</f>
        <v>0.11363636363636363</v>
      </c>
      <c r="K8" s="2">
        <v>3</v>
      </c>
      <c r="L8" s="3">
        <f>$G$3/($L$6^(K8-1))</f>
        <v>0.27500000000000002</v>
      </c>
      <c r="M8" s="3">
        <f>$G8/L8</f>
        <v>7.2727272727272724E-2</v>
      </c>
      <c r="N8" s="2">
        <f>18*F8</f>
        <v>54</v>
      </c>
      <c r="O8" s="3">
        <f>$G$3/N8</f>
        <v>2.0370370370370372E-2</v>
      </c>
      <c r="P8" s="3">
        <f>$G8/O8</f>
        <v>0.98181818181818181</v>
      </c>
    </row>
    <row r="9" spans="4:16" x14ac:dyDescent="0.45">
      <c r="F9" s="2">
        <v>4</v>
      </c>
      <c r="G9" s="14">
        <f t="shared" si="0"/>
        <v>1.4999999999999999E-2</v>
      </c>
      <c r="H9" s="2">
        <v>3</v>
      </c>
      <c r="I9" s="3">
        <f>$G$3/($I$6^(H9-1))</f>
        <v>0.17600000000000002</v>
      </c>
      <c r="J9" s="3">
        <f t="shared" ref="J9:J24" si="1">G9/I9</f>
        <v>8.5227272727272721E-2</v>
      </c>
      <c r="K9" s="2">
        <v>3</v>
      </c>
      <c r="L9" s="3">
        <f>$G$3/($L$6^(K9-1))</f>
        <v>0.27500000000000002</v>
      </c>
      <c r="M9" s="3">
        <f>$G9/L9</f>
        <v>5.4545454545454536E-2</v>
      </c>
      <c r="N9" s="2">
        <f t="shared" ref="N9:N24" si="2">18*F9</f>
        <v>72</v>
      </c>
      <c r="O9" s="3">
        <f t="shared" ref="O9:O24" si="3">$G$3/N9</f>
        <v>1.5277777777777779E-2</v>
      </c>
      <c r="P9" s="3">
        <f t="shared" ref="P9:P24" si="4">$G9/O9</f>
        <v>0.9818181818181817</v>
      </c>
    </row>
    <row r="10" spans="4:16" x14ac:dyDescent="0.45">
      <c r="F10" s="2">
        <v>6</v>
      </c>
      <c r="G10" s="14">
        <f t="shared" si="0"/>
        <v>0.01</v>
      </c>
      <c r="H10" s="2"/>
      <c r="I10" s="3"/>
      <c r="J10" s="3" t="e">
        <f t="shared" si="1"/>
        <v>#DIV/0!</v>
      </c>
      <c r="K10" s="2"/>
      <c r="L10" s="3"/>
      <c r="M10" s="3"/>
      <c r="N10" s="2">
        <f t="shared" si="2"/>
        <v>108</v>
      </c>
      <c r="O10" s="3">
        <f t="shared" si="3"/>
        <v>1.0185185185185186E-2</v>
      </c>
      <c r="P10" s="3">
        <f t="shared" si="4"/>
        <v>0.98181818181818181</v>
      </c>
    </row>
    <row r="11" spans="4:16" x14ac:dyDescent="0.45">
      <c r="F11" s="2">
        <v>8</v>
      </c>
      <c r="G11" s="14">
        <f t="shared" si="0"/>
        <v>7.4999999999999997E-3</v>
      </c>
      <c r="H11" s="10">
        <v>5</v>
      </c>
      <c r="I11" s="11">
        <f t="shared" ref="I11:I24" si="5">$G$3/($I$6^(H11-1))</f>
        <v>2.8160000000000001E-2</v>
      </c>
      <c r="J11" s="11">
        <f t="shared" si="1"/>
        <v>0.26633522727272724</v>
      </c>
      <c r="K11" s="2">
        <v>4</v>
      </c>
      <c r="L11" s="3">
        <f>$G$3/($L$6^(K11-1))</f>
        <v>0.13750000000000001</v>
      </c>
      <c r="M11" s="3">
        <f>$G11/L11</f>
        <v>5.4545454545454536E-2</v>
      </c>
      <c r="N11" s="2">
        <f t="shared" si="2"/>
        <v>144</v>
      </c>
      <c r="O11" s="3">
        <f t="shared" si="3"/>
        <v>7.6388888888888895E-3</v>
      </c>
      <c r="P11" s="3">
        <f t="shared" si="4"/>
        <v>0.9818181818181817</v>
      </c>
    </row>
    <row r="12" spans="4:16" x14ac:dyDescent="0.45">
      <c r="D12">
        <f>3/G12</f>
        <v>500</v>
      </c>
      <c r="F12" s="10">
        <v>10</v>
      </c>
      <c r="G12" s="15">
        <f t="shared" si="0"/>
        <v>6.0000000000000001E-3</v>
      </c>
      <c r="H12" s="2">
        <v>5</v>
      </c>
      <c r="I12" s="3">
        <f t="shared" si="5"/>
        <v>2.8160000000000001E-2</v>
      </c>
      <c r="J12" s="3">
        <f t="shared" si="1"/>
        <v>0.21306818181818182</v>
      </c>
      <c r="K12" s="2"/>
      <c r="L12" s="3"/>
      <c r="M12" s="3"/>
      <c r="N12" s="2">
        <f t="shared" si="2"/>
        <v>180</v>
      </c>
      <c r="O12" s="3">
        <f t="shared" si="3"/>
        <v>6.1111111111111114E-3</v>
      </c>
      <c r="P12" s="3">
        <f t="shared" si="4"/>
        <v>0.98181818181818181</v>
      </c>
    </row>
    <row r="13" spans="4:16" x14ac:dyDescent="0.45">
      <c r="F13" s="2">
        <v>12</v>
      </c>
      <c r="G13" s="14">
        <f t="shared" si="0"/>
        <v>5.0000000000000001E-3</v>
      </c>
      <c r="H13" s="2">
        <v>5</v>
      </c>
      <c r="I13" s="3">
        <f t="shared" si="5"/>
        <v>2.8160000000000001E-2</v>
      </c>
      <c r="J13" s="3">
        <f t="shared" si="1"/>
        <v>0.17755681818181818</v>
      </c>
      <c r="K13" s="2">
        <v>4</v>
      </c>
      <c r="L13" s="3">
        <f>$G$3/($L$6^(K13-1))</f>
        <v>0.13750000000000001</v>
      </c>
      <c r="M13" s="3">
        <f>$G13/L13</f>
        <v>3.6363636363636362E-2</v>
      </c>
      <c r="N13" s="2">
        <f t="shared" si="2"/>
        <v>216</v>
      </c>
      <c r="O13" s="3">
        <f t="shared" si="3"/>
        <v>5.092592592592593E-3</v>
      </c>
      <c r="P13" s="3">
        <f t="shared" si="4"/>
        <v>0.98181818181818181</v>
      </c>
    </row>
    <row r="14" spans="4:16" x14ac:dyDescent="0.45">
      <c r="F14" s="2">
        <v>14</v>
      </c>
      <c r="G14" s="14">
        <f t="shared" si="0"/>
        <v>4.2857142857142859E-3</v>
      </c>
      <c r="H14" s="2">
        <v>5</v>
      </c>
      <c r="I14" s="3">
        <f t="shared" si="5"/>
        <v>2.8160000000000001E-2</v>
      </c>
      <c r="J14" s="3">
        <f t="shared" si="1"/>
        <v>0.15219155844155843</v>
      </c>
      <c r="K14" s="2"/>
      <c r="L14" s="3"/>
      <c r="M14" s="3"/>
      <c r="N14" s="2">
        <f t="shared" si="2"/>
        <v>252</v>
      </c>
      <c r="O14" s="3">
        <f t="shared" si="3"/>
        <v>4.3650793650793652E-3</v>
      </c>
      <c r="P14" s="3">
        <f t="shared" si="4"/>
        <v>0.98181818181818181</v>
      </c>
    </row>
    <row r="15" spans="4:16" x14ac:dyDescent="0.45">
      <c r="F15" s="2">
        <v>15</v>
      </c>
      <c r="G15" s="13">
        <f t="shared" si="0"/>
        <v>4.0000000000000001E-3</v>
      </c>
      <c r="H15" s="2">
        <v>5</v>
      </c>
      <c r="I15" s="3">
        <f t="shared" si="5"/>
        <v>2.8160000000000001E-2</v>
      </c>
      <c r="J15" s="3">
        <f t="shared" si="1"/>
        <v>0.14204545454545453</v>
      </c>
      <c r="K15" s="2"/>
      <c r="L15" s="3"/>
      <c r="M15" s="3"/>
      <c r="N15" s="2">
        <f t="shared" si="2"/>
        <v>270</v>
      </c>
      <c r="O15" s="3">
        <f t="shared" si="3"/>
        <v>4.0740740740740746E-3</v>
      </c>
      <c r="P15" s="3">
        <f t="shared" si="4"/>
        <v>0.9818181818181817</v>
      </c>
    </row>
    <row r="16" spans="4:16" x14ac:dyDescent="0.45">
      <c r="F16" s="2">
        <v>16</v>
      </c>
      <c r="G16" s="13">
        <f t="shared" si="0"/>
        <v>3.7499999999999999E-3</v>
      </c>
      <c r="H16" s="2">
        <v>5</v>
      </c>
      <c r="I16" s="3">
        <f t="shared" si="5"/>
        <v>2.8160000000000001E-2</v>
      </c>
      <c r="J16" s="3">
        <f t="shared" si="1"/>
        <v>0.13316761363636362</v>
      </c>
      <c r="K16" s="2"/>
      <c r="L16" s="3"/>
      <c r="M16" s="3"/>
      <c r="N16" s="2">
        <f t="shared" si="2"/>
        <v>288</v>
      </c>
      <c r="O16" s="3">
        <f t="shared" si="3"/>
        <v>3.8194444444444448E-3</v>
      </c>
      <c r="P16" s="3">
        <f t="shared" si="4"/>
        <v>0.9818181818181817</v>
      </c>
    </row>
    <row r="17" spans="6:16" x14ac:dyDescent="0.45">
      <c r="F17" s="2">
        <v>18</v>
      </c>
      <c r="G17" s="13">
        <f t="shared" si="0"/>
        <v>3.3333333333333331E-3</v>
      </c>
      <c r="H17" s="2">
        <v>5</v>
      </c>
      <c r="I17" s="3">
        <f t="shared" si="5"/>
        <v>2.8160000000000001E-2</v>
      </c>
      <c r="J17" s="3">
        <f t="shared" si="1"/>
        <v>0.11837121212121211</v>
      </c>
      <c r="K17" s="2"/>
      <c r="L17" s="3"/>
      <c r="M17" s="3"/>
      <c r="N17" s="2">
        <f t="shared" si="2"/>
        <v>324</v>
      </c>
      <c r="O17" s="3">
        <f t="shared" si="3"/>
        <v>3.3950617283950621E-3</v>
      </c>
      <c r="P17" s="3">
        <f t="shared" si="4"/>
        <v>0.98181818181818159</v>
      </c>
    </row>
    <row r="18" spans="6:16" x14ac:dyDescent="0.45">
      <c r="F18" s="2">
        <v>20</v>
      </c>
      <c r="G18" s="13">
        <f t="shared" si="0"/>
        <v>3.0000000000000001E-3</v>
      </c>
      <c r="H18" s="2">
        <v>5</v>
      </c>
      <c r="I18" s="3">
        <f t="shared" si="5"/>
        <v>2.8160000000000001E-2</v>
      </c>
      <c r="J18" s="3">
        <f t="shared" si="1"/>
        <v>0.10653409090909091</v>
      </c>
      <c r="K18" s="2"/>
      <c r="L18" s="3"/>
      <c r="M18" s="3"/>
      <c r="N18" s="2">
        <f t="shared" si="2"/>
        <v>360</v>
      </c>
      <c r="O18" s="3">
        <f t="shared" si="3"/>
        <v>3.0555555555555557E-3</v>
      </c>
      <c r="P18" s="3">
        <f t="shared" si="4"/>
        <v>0.98181818181818181</v>
      </c>
    </row>
    <row r="19" spans="6:16" x14ac:dyDescent="0.45">
      <c r="F19" s="2">
        <v>24</v>
      </c>
      <c r="G19" s="13">
        <f t="shared" si="0"/>
        <v>2.5000000000000001E-3</v>
      </c>
      <c r="H19" s="2">
        <v>5</v>
      </c>
      <c r="I19" s="3">
        <f t="shared" si="5"/>
        <v>2.8160000000000001E-2</v>
      </c>
      <c r="J19" s="3">
        <f t="shared" si="1"/>
        <v>8.8778409090909088E-2</v>
      </c>
      <c r="K19" s="2"/>
      <c r="L19" s="3"/>
      <c r="M19" s="3"/>
      <c r="N19" s="2">
        <f t="shared" si="2"/>
        <v>432</v>
      </c>
      <c r="O19" s="3">
        <f t="shared" si="3"/>
        <v>2.5462962962962965E-3</v>
      </c>
      <c r="P19" s="3">
        <f t="shared" si="4"/>
        <v>0.98181818181818181</v>
      </c>
    </row>
    <row r="20" spans="6:16" x14ac:dyDescent="0.45">
      <c r="F20" s="2">
        <v>120</v>
      </c>
      <c r="G20" s="13">
        <f t="shared" si="0"/>
        <v>5.0000000000000001E-4</v>
      </c>
      <c r="H20" s="2">
        <v>5</v>
      </c>
      <c r="I20" s="3">
        <f t="shared" si="5"/>
        <v>2.8160000000000001E-2</v>
      </c>
      <c r="J20" s="3">
        <f t="shared" si="1"/>
        <v>1.7755681818181816E-2</v>
      </c>
      <c r="K20" s="2"/>
      <c r="L20" s="3"/>
      <c r="M20" s="3"/>
      <c r="N20" s="2">
        <f t="shared" si="2"/>
        <v>2160</v>
      </c>
      <c r="O20" s="3">
        <f t="shared" si="3"/>
        <v>5.0925925925925932E-4</v>
      </c>
      <c r="P20" s="3">
        <f t="shared" si="4"/>
        <v>0.9818181818181817</v>
      </c>
    </row>
    <row r="21" spans="6:16" x14ac:dyDescent="0.45">
      <c r="F21" s="2">
        <v>128</v>
      </c>
      <c r="G21" s="13">
        <f t="shared" si="0"/>
        <v>4.6874999999999998E-4</v>
      </c>
      <c r="H21" s="2">
        <v>5</v>
      </c>
      <c r="I21" s="3">
        <f t="shared" si="5"/>
        <v>2.8160000000000001E-2</v>
      </c>
      <c r="J21" s="3">
        <f t="shared" si="1"/>
        <v>1.6645951704545452E-2</v>
      </c>
      <c r="K21" s="2">
        <v>5</v>
      </c>
      <c r="L21" s="3">
        <f>$G$3/($L$6^(K21-1))</f>
        <v>6.8750000000000006E-2</v>
      </c>
      <c r="M21" s="3">
        <f>$G21/L21</f>
        <v>6.818181818181817E-3</v>
      </c>
      <c r="N21" s="2">
        <f t="shared" si="2"/>
        <v>2304</v>
      </c>
      <c r="O21" s="3">
        <f t="shared" si="3"/>
        <v>4.7743055555555559E-4</v>
      </c>
      <c r="P21" s="3">
        <f t="shared" si="4"/>
        <v>0.9818181818181817</v>
      </c>
    </row>
    <row r="22" spans="6:16" x14ac:dyDescent="0.45">
      <c r="F22" s="2">
        <v>256</v>
      </c>
      <c r="G22" s="13">
        <f t="shared" si="0"/>
        <v>2.3437499999999999E-4</v>
      </c>
      <c r="H22" s="2">
        <v>5</v>
      </c>
      <c r="I22" s="3">
        <f t="shared" si="5"/>
        <v>2.8160000000000001E-2</v>
      </c>
      <c r="J22" s="3">
        <f t="shared" si="1"/>
        <v>8.3229758522727262E-3</v>
      </c>
      <c r="K22" s="2">
        <v>6</v>
      </c>
      <c r="L22" s="3">
        <f>$G$3/($L$6^(K22-1))</f>
        <v>3.4375000000000003E-2</v>
      </c>
      <c r="M22" s="3">
        <f>$G22/L22</f>
        <v>6.818181818181817E-3</v>
      </c>
      <c r="N22" s="2">
        <f t="shared" si="2"/>
        <v>4608</v>
      </c>
      <c r="O22" s="3">
        <f t="shared" si="3"/>
        <v>2.387152777777778E-4</v>
      </c>
      <c r="P22" s="3">
        <f t="shared" si="4"/>
        <v>0.9818181818181817</v>
      </c>
    </row>
    <row r="23" spans="6:16" x14ac:dyDescent="0.45">
      <c r="F23" s="2">
        <v>512</v>
      </c>
      <c r="G23" s="13">
        <f t="shared" si="0"/>
        <v>1.171875E-4</v>
      </c>
      <c r="H23" s="2">
        <v>6</v>
      </c>
      <c r="I23" s="3">
        <f t="shared" si="5"/>
        <v>1.1264000000000001E-2</v>
      </c>
      <c r="J23" s="3">
        <f t="shared" si="1"/>
        <v>1.0403719815340908E-2</v>
      </c>
      <c r="K23" s="2">
        <v>7</v>
      </c>
      <c r="L23" s="3">
        <f>$G$3/($L$6^(K23-1))</f>
        <v>1.7187500000000001E-2</v>
      </c>
      <c r="M23" s="3">
        <f>$G23/L23</f>
        <v>6.818181818181817E-3</v>
      </c>
      <c r="N23" s="2">
        <f t="shared" si="2"/>
        <v>9216</v>
      </c>
      <c r="O23" s="3">
        <f t="shared" si="3"/>
        <v>1.193576388888889E-4</v>
      </c>
      <c r="P23" s="3">
        <f t="shared" si="4"/>
        <v>0.9818181818181817</v>
      </c>
    </row>
    <row r="24" spans="6:16" x14ac:dyDescent="0.45">
      <c r="F24" s="2">
        <v>1024</v>
      </c>
      <c r="G24" s="13">
        <f t="shared" si="0"/>
        <v>5.8593749999999998E-5</v>
      </c>
      <c r="H24" s="2">
        <v>6</v>
      </c>
      <c r="I24" s="3">
        <f t="shared" si="5"/>
        <v>1.1264000000000001E-2</v>
      </c>
      <c r="J24" s="3">
        <f t="shared" si="1"/>
        <v>5.2018599076704541E-3</v>
      </c>
      <c r="K24" s="2">
        <v>8</v>
      </c>
      <c r="L24" s="3">
        <f>$G$3/($L$6^(K24-1))</f>
        <v>8.5937500000000007E-3</v>
      </c>
      <c r="M24" s="3">
        <f>$G24/L24</f>
        <v>6.818181818181817E-3</v>
      </c>
      <c r="N24" s="2">
        <f t="shared" si="2"/>
        <v>18432</v>
      </c>
      <c r="O24" s="3">
        <f t="shared" si="3"/>
        <v>5.9678819444444449E-5</v>
      </c>
      <c r="P24" s="3">
        <f t="shared" si="4"/>
        <v>0.9818181818181817</v>
      </c>
    </row>
  </sheetData>
  <mergeCells count="7">
    <mergeCell ref="P5:P6"/>
    <mergeCell ref="F5:G5"/>
    <mergeCell ref="H5:I5"/>
    <mergeCell ref="J5:J6"/>
    <mergeCell ref="K5:L5"/>
    <mergeCell ref="M5:M6"/>
    <mergeCell ref="N5:O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4675F-E7DD-4748-9BD7-B719CFAE6828}">
  <dimension ref="F2:P24"/>
  <sheetViews>
    <sheetView workbookViewId="0">
      <selection activeCell="C25" sqref="C25:R37"/>
    </sheetView>
  </sheetViews>
  <sheetFormatPr defaultRowHeight="14.25" x14ac:dyDescent="0.45"/>
  <cols>
    <col min="7" max="7" width="9.265625" bestFit="1" customWidth="1"/>
    <col min="8" max="13" width="9.06640625" hidden="1" customWidth="1"/>
  </cols>
  <sheetData>
    <row r="2" spans="6:16" x14ac:dyDescent="0.45">
      <c r="F2" t="s">
        <v>2</v>
      </c>
      <c r="G2">
        <v>10</v>
      </c>
      <c r="H2" t="s">
        <v>3</v>
      </c>
    </row>
    <row r="3" spans="6:16" x14ac:dyDescent="0.45">
      <c r="F3" t="s">
        <v>4</v>
      </c>
      <c r="G3">
        <v>2</v>
      </c>
      <c r="H3" t="s">
        <v>3</v>
      </c>
    </row>
    <row r="5" spans="6:16" x14ac:dyDescent="0.45">
      <c r="F5" s="16" t="s">
        <v>0</v>
      </c>
      <c r="G5" s="16"/>
      <c r="H5" s="16" t="s">
        <v>5</v>
      </c>
      <c r="I5" s="16"/>
      <c r="J5" s="16" t="s">
        <v>6</v>
      </c>
      <c r="K5" s="16" t="s">
        <v>9</v>
      </c>
      <c r="L5" s="16"/>
      <c r="M5" s="16" t="s">
        <v>6</v>
      </c>
      <c r="N5" s="16" t="s">
        <v>8</v>
      </c>
      <c r="O5" s="16"/>
      <c r="P5" s="16" t="s">
        <v>6</v>
      </c>
    </row>
    <row r="6" spans="6:16" x14ac:dyDescent="0.45">
      <c r="F6" s="1" t="s">
        <v>1</v>
      </c>
      <c r="G6" s="1" t="s">
        <v>7</v>
      </c>
      <c r="H6" s="1" t="s">
        <v>1</v>
      </c>
      <c r="I6" s="1">
        <v>2.5</v>
      </c>
      <c r="J6" s="16"/>
      <c r="K6" s="1" t="s">
        <v>1</v>
      </c>
      <c r="L6" s="5">
        <v>2</v>
      </c>
      <c r="M6" s="16"/>
      <c r="N6" s="1" t="s">
        <v>1</v>
      </c>
      <c r="O6" s="1" t="s">
        <v>7</v>
      </c>
      <c r="P6" s="16"/>
    </row>
    <row r="7" spans="6:16" x14ac:dyDescent="0.45">
      <c r="F7" s="2">
        <v>16</v>
      </c>
      <c r="G7" s="3">
        <f t="shared" ref="G7:G24" si="0">$G$2/F7</f>
        <v>0.625</v>
      </c>
      <c r="H7" s="2">
        <v>2</v>
      </c>
      <c r="I7" s="3">
        <f>$G$3/($I$6^(H7-1))</f>
        <v>0.8</v>
      </c>
      <c r="J7" s="3">
        <f>G7/I7</f>
        <v>0.78125</v>
      </c>
      <c r="K7" s="2">
        <v>2</v>
      </c>
      <c r="L7" s="3">
        <f>$G$3/($L$6^(K7-1))</f>
        <v>1</v>
      </c>
      <c r="M7" s="3">
        <f>$G7/L7</f>
        <v>0.625</v>
      </c>
      <c r="N7" s="2">
        <f>F7/4</f>
        <v>4</v>
      </c>
      <c r="O7" s="3">
        <f>$G$3/N7</f>
        <v>0.5</v>
      </c>
      <c r="P7" s="3">
        <f>$G7/O7</f>
        <v>1.25</v>
      </c>
    </row>
    <row r="8" spans="6:16" x14ac:dyDescent="0.45">
      <c r="F8" s="2">
        <v>24</v>
      </c>
      <c r="G8" s="3">
        <f t="shared" si="0"/>
        <v>0.41666666666666669</v>
      </c>
      <c r="H8" s="2">
        <v>3</v>
      </c>
      <c r="I8" s="3">
        <f>$G$3/($I$6^(H8-1))</f>
        <v>0.32</v>
      </c>
      <c r="J8" s="3">
        <f>G8/I8</f>
        <v>1.3020833333333333</v>
      </c>
      <c r="K8" s="2">
        <v>3</v>
      </c>
      <c r="L8" s="3">
        <f>$G$3/($L$6^(K8-1))</f>
        <v>0.5</v>
      </c>
      <c r="M8" s="3">
        <f>$G8/L8</f>
        <v>0.83333333333333337</v>
      </c>
      <c r="N8" s="2">
        <f t="shared" ref="N8:N24" si="1">F8/4</f>
        <v>6</v>
      </c>
      <c r="O8" s="3">
        <f>$G$3/N8</f>
        <v>0.33333333333333331</v>
      </c>
      <c r="P8" s="3">
        <f>$G8/O8</f>
        <v>1.2500000000000002</v>
      </c>
    </row>
    <row r="9" spans="6:16" x14ac:dyDescent="0.45">
      <c r="F9" s="2">
        <v>32</v>
      </c>
      <c r="G9" s="3">
        <f t="shared" si="0"/>
        <v>0.3125</v>
      </c>
      <c r="H9" s="2">
        <v>3</v>
      </c>
      <c r="I9" s="3">
        <f>$G$3/($I$6^(H9-1))</f>
        <v>0.32</v>
      </c>
      <c r="J9" s="3">
        <f t="shared" ref="J9:J24" si="2">G9/I9</f>
        <v>0.9765625</v>
      </c>
      <c r="K9" s="2">
        <v>3</v>
      </c>
      <c r="L9" s="3">
        <f>$G$3/($L$6^(K9-1))</f>
        <v>0.5</v>
      </c>
      <c r="M9" s="3">
        <f>$G9/L9</f>
        <v>0.625</v>
      </c>
      <c r="N9" s="2">
        <f t="shared" si="1"/>
        <v>8</v>
      </c>
      <c r="O9" s="3">
        <f t="shared" ref="O9:O24" si="3">$G$3/N9</f>
        <v>0.25</v>
      </c>
      <c r="P9" s="3">
        <f t="shared" ref="P9:P24" si="4">$G9/O9</f>
        <v>1.25</v>
      </c>
    </row>
    <row r="10" spans="6:16" hidden="1" x14ac:dyDescent="0.45">
      <c r="F10" s="2">
        <v>40</v>
      </c>
      <c r="G10" s="3">
        <f t="shared" si="0"/>
        <v>0.25</v>
      </c>
      <c r="H10" s="2"/>
      <c r="I10" s="3"/>
      <c r="J10" s="3" t="e">
        <f t="shared" si="2"/>
        <v>#DIV/0!</v>
      </c>
      <c r="K10" s="2"/>
      <c r="L10" s="3"/>
      <c r="M10" s="3"/>
      <c r="N10" s="2">
        <f t="shared" si="1"/>
        <v>10</v>
      </c>
      <c r="O10" s="3">
        <f t="shared" si="3"/>
        <v>0.2</v>
      </c>
      <c r="P10" s="3">
        <f t="shared" si="4"/>
        <v>1.25</v>
      </c>
    </row>
    <row r="11" spans="6:16" x14ac:dyDescent="0.45">
      <c r="F11" s="10">
        <v>48</v>
      </c>
      <c r="G11" s="11">
        <f t="shared" si="0"/>
        <v>0.20833333333333334</v>
      </c>
      <c r="H11" s="10">
        <v>5</v>
      </c>
      <c r="I11" s="11">
        <f t="shared" ref="I11:I24" si="5">$G$3/($I$6^(H11-1))</f>
        <v>5.1200000000000002E-2</v>
      </c>
      <c r="J11" s="11">
        <f>G11/I11</f>
        <v>4.069010416666667</v>
      </c>
      <c r="K11" s="2">
        <v>4</v>
      </c>
      <c r="L11" s="3">
        <f>$G$3/($L$6^(K11-1))</f>
        <v>0.25</v>
      </c>
      <c r="M11" s="3">
        <f>$G11/L11</f>
        <v>0.83333333333333337</v>
      </c>
      <c r="N11" s="2">
        <f t="shared" si="1"/>
        <v>12</v>
      </c>
      <c r="O11" s="3">
        <f t="shared" si="3"/>
        <v>0.16666666666666666</v>
      </c>
      <c r="P11" s="3">
        <f t="shared" si="4"/>
        <v>1.2500000000000002</v>
      </c>
    </row>
    <row r="12" spans="6:16" x14ac:dyDescent="0.45">
      <c r="F12" s="2">
        <v>56</v>
      </c>
      <c r="G12" s="3">
        <f t="shared" si="0"/>
        <v>0.17857142857142858</v>
      </c>
      <c r="H12" s="2">
        <v>5</v>
      </c>
      <c r="I12" s="3">
        <f t="shared" si="5"/>
        <v>5.1200000000000002E-2</v>
      </c>
      <c r="J12" s="3">
        <f t="shared" si="2"/>
        <v>3.4877232142857144</v>
      </c>
      <c r="K12" s="2"/>
      <c r="L12" s="3"/>
      <c r="M12" s="3"/>
      <c r="N12" s="2">
        <f t="shared" si="1"/>
        <v>14</v>
      </c>
      <c r="O12" s="3">
        <f t="shared" si="3"/>
        <v>0.14285714285714285</v>
      </c>
      <c r="P12" s="3">
        <f t="shared" si="4"/>
        <v>1.25</v>
      </c>
    </row>
    <row r="13" spans="6:16" x14ac:dyDescent="0.45">
      <c r="F13" s="2">
        <v>64</v>
      </c>
      <c r="G13" s="3">
        <f t="shared" si="0"/>
        <v>0.15625</v>
      </c>
      <c r="H13" s="2">
        <v>5</v>
      </c>
      <c r="I13" s="3">
        <f t="shared" si="5"/>
        <v>5.1200000000000002E-2</v>
      </c>
      <c r="J13" s="3">
        <f t="shared" si="2"/>
        <v>3.0517578125</v>
      </c>
      <c r="K13" s="2">
        <v>4</v>
      </c>
      <c r="L13" s="3">
        <f>$G$3/($L$6^(K13-1))</f>
        <v>0.25</v>
      </c>
      <c r="M13" s="3">
        <f>$G13/L13</f>
        <v>0.625</v>
      </c>
      <c r="N13" s="2">
        <f t="shared" si="1"/>
        <v>16</v>
      </c>
      <c r="O13" s="3">
        <f t="shared" si="3"/>
        <v>0.125</v>
      </c>
      <c r="P13" s="3">
        <f t="shared" si="4"/>
        <v>1.25</v>
      </c>
    </row>
    <row r="14" spans="6:16" hidden="1" x14ac:dyDescent="0.45">
      <c r="F14" s="2">
        <v>72</v>
      </c>
      <c r="G14" s="3">
        <f t="shared" si="0"/>
        <v>0.1388888888888889</v>
      </c>
      <c r="H14" s="2">
        <v>5</v>
      </c>
      <c r="I14" s="3">
        <f t="shared" si="5"/>
        <v>5.1200000000000002E-2</v>
      </c>
      <c r="J14" s="3">
        <f t="shared" si="2"/>
        <v>2.7126736111111112</v>
      </c>
      <c r="K14" s="2"/>
      <c r="L14" s="3"/>
      <c r="M14" s="3"/>
      <c r="N14" s="2">
        <f t="shared" si="1"/>
        <v>18</v>
      </c>
      <c r="O14" s="3">
        <f t="shared" si="3"/>
        <v>0.1111111111111111</v>
      </c>
      <c r="P14" s="3">
        <f t="shared" si="4"/>
        <v>1.2500000000000002</v>
      </c>
    </row>
    <row r="15" spans="6:16" hidden="1" x14ac:dyDescent="0.45">
      <c r="F15" s="2">
        <v>80</v>
      </c>
      <c r="G15" s="3">
        <f t="shared" si="0"/>
        <v>0.125</v>
      </c>
      <c r="H15" s="2">
        <v>5</v>
      </c>
      <c r="I15" s="3">
        <f t="shared" si="5"/>
        <v>5.1200000000000002E-2</v>
      </c>
      <c r="J15" s="3">
        <f t="shared" si="2"/>
        <v>2.44140625</v>
      </c>
      <c r="K15" s="2"/>
      <c r="L15" s="3"/>
      <c r="M15" s="3"/>
      <c r="N15" s="2">
        <f t="shared" si="1"/>
        <v>20</v>
      </c>
      <c r="O15" s="3">
        <f t="shared" si="3"/>
        <v>0.1</v>
      </c>
      <c r="P15" s="3">
        <f t="shared" si="4"/>
        <v>1.25</v>
      </c>
    </row>
    <row r="16" spans="6:16" hidden="1" x14ac:dyDescent="0.45">
      <c r="F16" s="2">
        <v>88</v>
      </c>
      <c r="G16" s="3">
        <f t="shared" si="0"/>
        <v>0.11363636363636363</v>
      </c>
      <c r="H16" s="2">
        <v>5</v>
      </c>
      <c r="I16" s="3">
        <f t="shared" si="5"/>
        <v>5.1200000000000002E-2</v>
      </c>
      <c r="J16" s="3">
        <f t="shared" si="2"/>
        <v>2.2194602272727271</v>
      </c>
      <c r="K16" s="2"/>
      <c r="L16" s="3"/>
      <c r="M16" s="3"/>
      <c r="N16" s="2">
        <f t="shared" si="1"/>
        <v>22</v>
      </c>
      <c r="O16" s="3">
        <f t="shared" si="3"/>
        <v>9.0909090909090912E-2</v>
      </c>
      <c r="P16" s="3">
        <f t="shared" si="4"/>
        <v>1.25</v>
      </c>
    </row>
    <row r="17" spans="6:16" hidden="1" x14ac:dyDescent="0.45">
      <c r="F17" s="2">
        <v>96</v>
      </c>
      <c r="G17" s="3">
        <f t="shared" si="0"/>
        <v>0.10416666666666667</v>
      </c>
      <c r="H17" s="2">
        <v>5</v>
      </c>
      <c r="I17" s="3">
        <f t="shared" si="5"/>
        <v>5.1200000000000002E-2</v>
      </c>
      <c r="J17" s="3">
        <f t="shared" si="2"/>
        <v>2.0345052083333335</v>
      </c>
      <c r="K17" s="2"/>
      <c r="L17" s="3"/>
      <c r="M17" s="3"/>
      <c r="N17" s="2">
        <f t="shared" si="1"/>
        <v>24</v>
      </c>
      <c r="O17" s="3">
        <f t="shared" si="3"/>
        <v>8.3333333333333329E-2</v>
      </c>
      <c r="P17" s="3">
        <f t="shared" si="4"/>
        <v>1.2500000000000002</v>
      </c>
    </row>
    <row r="18" spans="6:16" hidden="1" x14ac:dyDescent="0.45">
      <c r="F18" s="2">
        <v>104</v>
      </c>
      <c r="G18" s="3">
        <f t="shared" si="0"/>
        <v>9.6153846153846159E-2</v>
      </c>
      <c r="H18" s="2">
        <v>5</v>
      </c>
      <c r="I18" s="3">
        <f t="shared" si="5"/>
        <v>5.1200000000000002E-2</v>
      </c>
      <c r="J18" s="3">
        <f t="shared" si="2"/>
        <v>1.8780048076923077</v>
      </c>
      <c r="K18" s="2"/>
      <c r="L18" s="3"/>
      <c r="M18" s="3"/>
      <c r="N18" s="2">
        <f t="shared" si="1"/>
        <v>26</v>
      </c>
      <c r="O18" s="3">
        <f t="shared" si="3"/>
        <v>7.6923076923076927E-2</v>
      </c>
      <c r="P18" s="3">
        <f t="shared" si="4"/>
        <v>1.25</v>
      </c>
    </row>
    <row r="19" spans="6:16" hidden="1" x14ac:dyDescent="0.45">
      <c r="F19" s="2">
        <v>112</v>
      </c>
      <c r="G19" s="3">
        <f t="shared" si="0"/>
        <v>8.9285714285714288E-2</v>
      </c>
      <c r="H19" s="2">
        <v>5</v>
      </c>
      <c r="I19" s="3">
        <f t="shared" si="5"/>
        <v>5.1200000000000002E-2</v>
      </c>
      <c r="J19" s="3">
        <f t="shared" si="2"/>
        <v>1.7438616071428572</v>
      </c>
      <c r="K19" s="2"/>
      <c r="L19" s="3"/>
      <c r="M19" s="3"/>
      <c r="N19" s="2">
        <f t="shared" si="1"/>
        <v>28</v>
      </c>
      <c r="O19" s="3">
        <f t="shared" si="3"/>
        <v>7.1428571428571425E-2</v>
      </c>
      <c r="P19" s="3">
        <f t="shared" si="4"/>
        <v>1.25</v>
      </c>
    </row>
    <row r="20" spans="6:16" hidden="1" x14ac:dyDescent="0.45">
      <c r="F20" s="2">
        <v>120</v>
      </c>
      <c r="G20" s="3">
        <f t="shared" si="0"/>
        <v>8.3333333333333329E-2</v>
      </c>
      <c r="H20" s="2">
        <v>5</v>
      </c>
      <c r="I20" s="3">
        <f t="shared" si="5"/>
        <v>5.1200000000000002E-2</v>
      </c>
      <c r="J20" s="3">
        <f t="shared" si="2"/>
        <v>1.6276041666666665</v>
      </c>
      <c r="K20" s="2"/>
      <c r="L20" s="3"/>
      <c r="M20" s="3"/>
      <c r="N20" s="2">
        <f t="shared" si="1"/>
        <v>30</v>
      </c>
      <c r="O20" s="3">
        <f t="shared" si="3"/>
        <v>6.6666666666666666E-2</v>
      </c>
      <c r="P20" s="3">
        <f t="shared" si="4"/>
        <v>1.25</v>
      </c>
    </row>
    <row r="21" spans="6:16" x14ac:dyDescent="0.45">
      <c r="F21" s="2">
        <v>128</v>
      </c>
      <c r="G21" s="3">
        <f t="shared" si="0"/>
        <v>7.8125E-2</v>
      </c>
      <c r="H21" s="2">
        <v>5</v>
      </c>
      <c r="I21" s="3">
        <f t="shared" si="5"/>
        <v>5.1200000000000002E-2</v>
      </c>
      <c r="J21" s="3">
        <f t="shared" si="2"/>
        <v>1.52587890625</v>
      </c>
      <c r="K21" s="2">
        <v>5</v>
      </c>
      <c r="L21" s="3">
        <f>$G$3/($L$6^(K21-1))</f>
        <v>0.125</v>
      </c>
      <c r="M21" s="3">
        <f>$G21/L21</f>
        <v>0.625</v>
      </c>
      <c r="N21" s="2">
        <f t="shared" si="1"/>
        <v>32</v>
      </c>
      <c r="O21" s="3">
        <f t="shared" si="3"/>
        <v>6.25E-2</v>
      </c>
      <c r="P21" s="3">
        <f t="shared" si="4"/>
        <v>1.25</v>
      </c>
    </row>
    <row r="22" spans="6:16" x14ac:dyDescent="0.45">
      <c r="F22" s="2">
        <v>256</v>
      </c>
      <c r="G22" s="3">
        <f t="shared" si="0"/>
        <v>3.90625E-2</v>
      </c>
      <c r="H22" s="2">
        <v>5</v>
      </c>
      <c r="I22" s="3">
        <f t="shared" si="5"/>
        <v>5.1200000000000002E-2</v>
      </c>
      <c r="J22" s="3">
        <f t="shared" si="2"/>
        <v>0.762939453125</v>
      </c>
      <c r="K22" s="2">
        <v>6</v>
      </c>
      <c r="L22" s="3">
        <f>$G$3/($L$6^(K22-1))</f>
        <v>6.25E-2</v>
      </c>
      <c r="M22" s="3">
        <f>$G22/L22</f>
        <v>0.625</v>
      </c>
      <c r="N22" s="2">
        <f t="shared" si="1"/>
        <v>64</v>
      </c>
      <c r="O22" s="3">
        <f t="shared" si="3"/>
        <v>3.125E-2</v>
      </c>
      <c r="P22" s="3">
        <f t="shared" si="4"/>
        <v>1.25</v>
      </c>
    </row>
    <row r="23" spans="6:16" x14ac:dyDescent="0.45">
      <c r="F23" s="2">
        <v>512</v>
      </c>
      <c r="G23" s="3">
        <f t="shared" si="0"/>
        <v>1.953125E-2</v>
      </c>
      <c r="H23" s="2">
        <v>6</v>
      </c>
      <c r="I23" s="3">
        <f t="shared" si="5"/>
        <v>2.0480000000000002E-2</v>
      </c>
      <c r="J23" s="3">
        <f t="shared" si="2"/>
        <v>0.95367431640624989</v>
      </c>
      <c r="K23" s="2">
        <v>7</v>
      </c>
      <c r="L23" s="3">
        <f>$G$3/($L$6^(K23-1))</f>
        <v>3.125E-2</v>
      </c>
      <c r="M23" s="3">
        <f>$G23/L23</f>
        <v>0.625</v>
      </c>
      <c r="N23" s="2">
        <f t="shared" si="1"/>
        <v>128</v>
      </c>
      <c r="O23" s="3">
        <f t="shared" si="3"/>
        <v>1.5625E-2</v>
      </c>
      <c r="P23" s="3">
        <f t="shared" si="4"/>
        <v>1.25</v>
      </c>
    </row>
    <row r="24" spans="6:16" x14ac:dyDescent="0.45">
      <c r="F24" s="2">
        <v>1024</v>
      </c>
      <c r="G24" s="3">
        <f t="shared" si="0"/>
        <v>9.765625E-3</v>
      </c>
      <c r="H24" s="2">
        <v>6</v>
      </c>
      <c r="I24" s="3">
        <f t="shared" si="5"/>
        <v>2.0480000000000002E-2</v>
      </c>
      <c r="J24" s="3">
        <f t="shared" si="2"/>
        <v>0.47683715820312494</v>
      </c>
      <c r="K24" s="2">
        <v>8</v>
      </c>
      <c r="L24" s="3">
        <f>$G$3/($L$6^(K24-1))</f>
        <v>1.5625E-2</v>
      </c>
      <c r="M24" s="3">
        <f>$G24/L24</f>
        <v>0.625</v>
      </c>
      <c r="N24" s="2">
        <f t="shared" si="1"/>
        <v>256</v>
      </c>
      <c r="O24" s="3">
        <f t="shared" si="3"/>
        <v>7.8125E-3</v>
      </c>
      <c r="P24" s="3">
        <f t="shared" si="4"/>
        <v>1.25</v>
      </c>
    </row>
  </sheetData>
  <mergeCells count="7">
    <mergeCell ref="P5:P6"/>
    <mergeCell ref="F5:G5"/>
    <mergeCell ref="H5:I5"/>
    <mergeCell ref="J5:J6"/>
    <mergeCell ref="K5:L5"/>
    <mergeCell ref="M5:M6"/>
    <mergeCell ref="N5:O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E1D93-3DB7-41D4-B1AC-37D0F384FF45}">
  <dimension ref="F2:P24"/>
  <sheetViews>
    <sheetView topLeftCell="A21" workbookViewId="0">
      <selection activeCell="T32" sqref="Q4:T32"/>
    </sheetView>
  </sheetViews>
  <sheetFormatPr defaultRowHeight="14.25" x14ac:dyDescent="0.45"/>
  <cols>
    <col min="7" max="7" width="9.265625" bestFit="1" customWidth="1"/>
    <col min="8" max="13" width="9.06640625" hidden="1" customWidth="1"/>
  </cols>
  <sheetData>
    <row r="2" spans="6:16" x14ac:dyDescent="0.45">
      <c r="F2" t="s">
        <v>2</v>
      </c>
      <c r="G2">
        <v>10</v>
      </c>
      <c r="H2" t="s">
        <v>3</v>
      </c>
    </row>
    <row r="3" spans="6:16" x14ac:dyDescent="0.45">
      <c r="F3" t="s">
        <v>4</v>
      </c>
      <c r="G3">
        <v>5</v>
      </c>
      <c r="H3" t="s">
        <v>3</v>
      </c>
    </row>
    <row r="5" spans="6:16" x14ac:dyDescent="0.45">
      <c r="F5" s="16" t="s">
        <v>0</v>
      </c>
      <c r="G5" s="16"/>
      <c r="H5" s="16" t="s">
        <v>5</v>
      </c>
      <c r="I5" s="16"/>
      <c r="J5" s="16" t="s">
        <v>6</v>
      </c>
      <c r="K5" s="16" t="s">
        <v>9</v>
      </c>
      <c r="L5" s="16"/>
      <c r="M5" s="16" t="s">
        <v>6</v>
      </c>
      <c r="N5" s="16" t="s">
        <v>8</v>
      </c>
      <c r="O5" s="16"/>
      <c r="P5" s="16" t="s">
        <v>6</v>
      </c>
    </row>
    <row r="6" spans="6:16" x14ac:dyDescent="0.45">
      <c r="F6" s="1" t="s">
        <v>1</v>
      </c>
      <c r="G6" s="1" t="s">
        <v>7</v>
      </c>
      <c r="H6" s="1" t="s">
        <v>1</v>
      </c>
      <c r="I6" s="1">
        <v>2.5</v>
      </c>
      <c r="J6" s="16"/>
      <c r="K6" s="1" t="s">
        <v>1</v>
      </c>
      <c r="L6" s="5">
        <v>2</v>
      </c>
      <c r="M6" s="16"/>
      <c r="N6" s="1" t="s">
        <v>1</v>
      </c>
      <c r="O6" s="1" t="s">
        <v>7</v>
      </c>
      <c r="P6" s="16"/>
    </row>
    <row r="7" spans="6:16" x14ac:dyDescent="0.45">
      <c r="F7" s="2">
        <v>16</v>
      </c>
      <c r="G7" s="3">
        <f t="shared" ref="G7:G24" si="0">$G$2/F7</f>
        <v>0.625</v>
      </c>
      <c r="H7" s="2">
        <v>2</v>
      </c>
      <c r="I7" s="3">
        <f>$G$3/($I$6^(H7-1))</f>
        <v>2</v>
      </c>
      <c r="J7" s="3">
        <f>G7/I7</f>
        <v>0.3125</v>
      </c>
      <c r="K7" s="2">
        <v>2</v>
      </c>
      <c r="L7" s="3">
        <f>$G$3/($L$6^(K7-1))</f>
        <v>2.5</v>
      </c>
      <c r="M7" s="3">
        <f>$G7/L7</f>
        <v>0.25</v>
      </c>
      <c r="N7" s="2">
        <v>8</v>
      </c>
      <c r="O7" s="3">
        <f>$G$3/N7</f>
        <v>0.625</v>
      </c>
      <c r="P7" s="3">
        <f>$G7/O7</f>
        <v>1</v>
      </c>
    </row>
    <row r="8" spans="6:16" x14ac:dyDescent="0.45">
      <c r="F8" s="2">
        <v>24</v>
      </c>
      <c r="G8" s="3">
        <f t="shared" si="0"/>
        <v>0.41666666666666669</v>
      </c>
      <c r="H8" s="2">
        <v>3</v>
      </c>
      <c r="I8" s="3">
        <f>$G$3/($I$6^(H8-1))</f>
        <v>0.8</v>
      </c>
      <c r="J8" s="3">
        <f>G8/I8</f>
        <v>0.52083333333333337</v>
      </c>
      <c r="K8" s="2">
        <v>3</v>
      </c>
      <c r="L8" s="3">
        <f>$G$3/($L$6^(K8-1))</f>
        <v>1.25</v>
      </c>
      <c r="M8" s="3">
        <f>$G8/L8</f>
        <v>0.33333333333333337</v>
      </c>
      <c r="N8" s="2">
        <v>12</v>
      </c>
      <c r="O8" s="3">
        <f>$G$3/N8</f>
        <v>0.41666666666666669</v>
      </c>
      <c r="P8" s="3">
        <f>$G8/O8</f>
        <v>1</v>
      </c>
    </row>
    <row r="9" spans="6:16" x14ac:dyDescent="0.45">
      <c r="F9" s="2">
        <v>32</v>
      </c>
      <c r="G9" s="3">
        <f t="shared" si="0"/>
        <v>0.3125</v>
      </c>
      <c r="H9" s="2">
        <v>3</v>
      </c>
      <c r="I9" s="3">
        <f>$G$3/($I$6^(H9-1))</f>
        <v>0.8</v>
      </c>
      <c r="J9" s="3">
        <f t="shared" ref="J9:J24" si="1">G9/I9</f>
        <v>0.390625</v>
      </c>
      <c r="K9" s="2">
        <v>3</v>
      </c>
      <c r="L9" s="3">
        <f>$G$3/($L$6^(K9-1))</f>
        <v>1.25</v>
      </c>
      <c r="M9" s="3">
        <f>$G9/L9</f>
        <v>0.25</v>
      </c>
      <c r="N9" s="2">
        <v>16</v>
      </c>
      <c r="O9" s="3">
        <f t="shared" ref="O9:O24" si="2">$G$3/N9</f>
        <v>0.3125</v>
      </c>
      <c r="P9" s="3">
        <f t="shared" ref="P9:P24" si="3">$G9/O9</f>
        <v>1</v>
      </c>
    </row>
    <row r="10" spans="6:16" hidden="1" x14ac:dyDescent="0.45">
      <c r="F10" s="2">
        <v>40</v>
      </c>
      <c r="G10" s="3">
        <f t="shared" si="0"/>
        <v>0.25</v>
      </c>
      <c r="H10" s="2"/>
      <c r="I10" s="3"/>
      <c r="J10" s="3" t="e">
        <f t="shared" si="1"/>
        <v>#DIV/0!</v>
      </c>
      <c r="K10" s="2"/>
      <c r="L10" s="3"/>
      <c r="M10" s="3"/>
      <c r="N10" s="2">
        <v>5</v>
      </c>
      <c r="O10" s="3">
        <f t="shared" si="2"/>
        <v>1</v>
      </c>
      <c r="P10" s="3">
        <f t="shared" si="3"/>
        <v>0.25</v>
      </c>
    </row>
    <row r="11" spans="6:16" x14ac:dyDescent="0.45">
      <c r="F11" s="10">
        <v>32</v>
      </c>
      <c r="G11" s="11">
        <f t="shared" si="0"/>
        <v>0.3125</v>
      </c>
      <c r="H11" s="10">
        <v>5</v>
      </c>
      <c r="I11" s="11">
        <f t="shared" ref="I11:I24" si="4">$G$3/($I$6^(H11-1))</f>
        <v>0.128</v>
      </c>
      <c r="J11" s="11">
        <f t="shared" si="1"/>
        <v>2.44140625</v>
      </c>
      <c r="K11" s="2">
        <v>4</v>
      </c>
      <c r="L11" s="3">
        <f>$G$3/($L$6^(K11-1))</f>
        <v>0.625</v>
      </c>
      <c r="M11" s="3">
        <f>$G11/L11</f>
        <v>0.5</v>
      </c>
      <c r="N11" s="2">
        <f>F11/2</f>
        <v>16</v>
      </c>
      <c r="O11" s="3">
        <f t="shared" si="2"/>
        <v>0.3125</v>
      </c>
      <c r="P11" s="3">
        <f t="shared" si="3"/>
        <v>1</v>
      </c>
    </row>
    <row r="12" spans="6:16" x14ac:dyDescent="0.45">
      <c r="F12" s="2">
        <v>48</v>
      </c>
      <c r="G12" s="3">
        <f t="shared" si="0"/>
        <v>0.20833333333333334</v>
      </c>
      <c r="H12" s="2">
        <v>5</v>
      </c>
      <c r="I12" s="3">
        <f t="shared" si="4"/>
        <v>0.128</v>
      </c>
      <c r="J12" s="3">
        <f t="shared" si="1"/>
        <v>1.6276041666666667</v>
      </c>
      <c r="K12" s="2"/>
      <c r="L12" s="3"/>
      <c r="M12" s="3"/>
      <c r="N12" s="2">
        <f>F12/2</f>
        <v>24</v>
      </c>
      <c r="O12" s="3">
        <f t="shared" si="2"/>
        <v>0.20833333333333334</v>
      </c>
      <c r="P12" s="3">
        <f t="shared" si="3"/>
        <v>1</v>
      </c>
    </row>
    <row r="13" spans="6:16" x14ac:dyDescent="0.45">
      <c r="F13" s="2">
        <v>64</v>
      </c>
      <c r="G13" s="3">
        <f t="shared" si="0"/>
        <v>0.15625</v>
      </c>
      <c r="H13" s="2">
        <v>5</v>
      </c>
      <c r="I13" s="3">
        <f t="shared" si="4"/>
        <v>0.128</v>
      </c>
      <c r="J13" s="3">
        <f t="shared" si="1"/>
        <v>1.220703125</v>
      </c>
      <c r="K13" s="2">
        <v>4</v>
      </c>
      <c r="L13" s="3">
        <f>$G$3/($L$6^(K13-1))</f>
        <v>0.625</v>
      </c>
      <c r="M13" s="3">
        <f>$G13/L13</f>
        <v>0.25</v>
      </c>
      <c r="N13" s="2">
        <f t="shared" ref="N13:N24" si="5">F13/2</f>
        <v>32</v>
      </c>
      <c r="O13" s="3">
        <f t="shared" si="2"/>
        <v>0.15625</v>
      </c>
      <c r="P13" s="3">
        <f t="shared" si="3"/>
        <v>1</v>
      </c>
    </row>
    <row r="14" spans="6:16" hidden="1" x14ac:dyDescent="0.45">
      <c r="F14" s="2">
        <v>72</v>
      </c>
      <c r="G14" s="3">
        <f t="shared" si="0"/>
        <v>0.1388888888888889</v>
      </c>
      <c r="H14" s="2">
        <v>5</v>
      </c>
      <c r="I14" s="3">
        <f t="shared" si="4"/>
        <v>0.128</v>
      </c>
      <c r="J14" s="3">
        <f t="shared" si="1"/>
        <v>1.0850694444444444</v>
      </c>
      <c r="K14" s="2"/>
      <c r="L14" s="3"/>
      <c r="M14" s="3"/>
      <c r="N14" s="2">
        <f t="shared" si="5"/>
        <v>36</v>
      </c>
      <c r="O14" s="3">
        <f t="shared" si="2"/>
        <v>0.1388888888888889</v>
      </c>
      <c r="P14" s="3">
        <f t="shared" si="3"/>
        <v>1</v>
      </c>
    </row>
    <row r="15" spans="6:16" hidden="1" x14ac:dyDescent="0.45">
      <c r="F15" s="2">
        <v>80</v>
      </c>
      <c r="G15" s="3">
        <f t="shared" si="0"/>
        <v>0.125</v>
      </c>
      <c r="H15" s="2">
        <v>5</v>
      </c>
      <c r="I15" s="3">
        <f t="shared" si="4"/>
        <v>0.128</v>
      </c>
      <c r="J15" s="3">
        <f t="shared" si="1"/>
        <v>0.9765625</v>
      </c>
      <c r="K15" s="2"/>
      <c r="L15" s="3"/>
      <c r="M15" s="3"/>
      <c r="N15" s="2">
        <f t="shared" si="5"/>
        <v>40</v>
      </c>
      <c r="O15" s="3">
        <f t="shared" si="2"/>
        <v>0.125</v>
      </c>
      <c r="P15" s="3">
        <f t="shared" si="3"/>
        <v>1</v>
      </c>
    </row>
    <row r="16" spans="6:16" hidden="1" x14ac:dyDescent="0.45">
      <c r="F16" s="2">
        <v>88</v>
      </c>
      <c r="G16" s="3">
        <f t="shared" si="0"/>
        <v>0.11363636363636363</v>
      </c>
      <c r="H16" s="2">
        <v>5</v>
      </c>
      <c r="I16" s="3">
        <f t="shared" si="4"/>
        <v>0.128</v>
      </c>
      <c r="J16" s="3">
        <f t="shared" si="1"/>
        <v>0.88778409090909083</v>
      </c>
      <c r="K16" s="2"/>
      <c r="L16" s="3"/>
      <c r="M16" s="3"/>
      <c r="N16" s="2">
        <f t="shared" si="5"/>
        <v>44</v>
      </c>
      <c r="O16" s="3">
        <f t="shared" si="2"/>
        <v>0.11363636363636363</v>
      </c>
      <c r="P16" s="3">
        <f t="shared" si="3"/>
        <v>1</v>
      </c>
    </row>
    <row r="17" spans="6:16" hidden="1" x14ac:dyDescent="0.45">
      <c r="F17" s="2">
        <v>96</v>
      </c>
      <c r="G17" s="3">
        <f t="shared" si="0"/>
        <v>0.10416666666666667</v>
      </c>
      <c r="H17" s="2">
        <v>5</v>
      </c>
      <c r="I17" s="3">
        <f t="shared" si="4"/>
        <v>0.128</v>
      </c>
      <c r="J17" s="3">
        <f t="shared" si="1"/>
        <v>0.81380208333333337</v>
      </c>
      <c r="K17" s="2"/>
      <c r="L17" s="3"/>
      <c r="M17" s="3"/>
      <c r="N17" s="2">
        <f t="shared" si="5"/>
        <v>48</v>
      </c>
      <c r="O17" s="3">
        <f t="shared" si="2"/>
        <v>0.10416666666666667</v>
      </c>
      <c r="P17" s="3">
        <f t="shared" si="3"/>
        <v>1</v>
      </c>
    </row>
    <row r="18" spans="6:16" hidden="1" x14ac:dyDescent="0.45">
      <c r="F18" s="2">
        <v>104</v>
      </c>
      <c r="G18" s="3">
        <f t="shared" si="0"/>
        <v>9.6153846153846159E-2</v>
      </c>
      <c r="H18" s="2">
        <v>5</v>
      </c>
      <c r="I18" s="3">
        <f t="shared" si="4"/>
        <v>0.128</v>
      </c>
      <c r="J18" s="3">
        <f t="shared" si="1"/>
        <v>0.75120192307692313</v>
      </c>
      <c r="K18" s="2"/>
      <c r="L18" s="3"/>
      <c r="M18" s="3"/>
      <c r="N18" s="2">
        <f t="shared" si="5"/>
        <v>52</v>
      </c>
      <c r="O18" s="3">
        <f t="shared" si="2"/>
        <v>9.6153846153846159E-2</v>
      </c>
      <c r="P18" s="3">
        <f t="shared" si="3"/>
        <v>1</v>
      </c>
    </row>
    <row r="19" spans="6:16" hidden="1" x14ac:dyDescent="0.45">
      <c r="F19" s="2">
        <v>112</v>
      </c>
      <c r="G19" s="3">
        <f t="shared" si="0"/>
        <v>8.9285714285714288E-2</v>
      </c>
      <c r="H19" s="2">
        <v>5</v>
      </c>
      <c r="I19" s="3">
        <f t="shared" si="4"/>
        <v>0.128</v>
      </c>
      <c r="J19" s="3">
        <f t="shared" si="1"/>
        <v>0.6975446428571429</v>
      </c>
      <c r="K19" s="2"/>
      <c r="L19" s="3"/>
      <c r="M19" s="3"/>
      <c r="N19" s="2">
        <f t="shared" si="5"/>
        <v>56</v>
      </c>
      <c r="O19" s="3">
        <f t="shared" si="2"/>
        <v>8.9285714285714288E-2</v>
      </c>
      <c r="P19" s="3">
        <f t="shared" si="3"/>
        <v>1</v>
      </c>
    </row>
    <row r="20" spans="6:16" hidden="1" x14ac:dyDescent="0.45">
      <c r="F20" s="2">
        <v>120</v>
      </c>
      <c r="G20" s="3">
        <f t="shared" si="0"/>
        <v>8.3333333333333329E-2</v>
      </c>
      <c r="H20" s="2">
        <v>5</v>
      </c>
      <c r="I20" s="3">
        <f t="shared" si="4"/>
        <v>0.128</v>
      </c>
      <c r="J20" s="3">
        <f t="shared" si="1"/>
        <v>0.65104166666666663</v>
      </c>
      <c r="K20" s="2"/>
      <c r="L20" s="3"/>
      <c r="M20" s="3"/>
      <c r="N20" s="2">
        <f t="shared" si="5"/>
        <v>60</v>
      </c>
      <c r="O20" s="3">
        <f t="shared" si="2"/>
        <v>8.3333333333333329E-2</v>
      </c>
      <c r="P20" s="3">
        <f t="shared" si="3"/>
        <v>1</v>
      </c>
    </row>
    <row r="21" spans="6:16" x14ac:dyDescent="0.45">
      <c r="F21" s="2">
        <v>128</v>
      </c>
      <c r="G21" s="3">
        <f t="shared" si="0"/>
        <v>7.8125E-2</v>
      </c>
      <c r="H21" s="2">
        <v>5</v>
      </c>
      <c r="I21" s="3">
        <f t="shared" si="4"/>
        <v>0.128</v>
      </c>
      <c r="J21" s="3">
        <f t="shared" si="1"/>
        <v>0.6103515625</v>
      </c>
      <c r="K21" s="2">
        <v>5</v>
      </c>
      <c r="L21" s="3">
        <f>$G$3/($L$6^(K21-1))</f>
        <v>0.3125</v>
      </c>
      <c r="M21" s="3">
        <f>$G21/L21</f>
        <v>0.25</v>
      </c>
      <c r="N21" s="2">
        <f t="shared" si="5"/>
        <v>64</v>
      </c>
      <c r="O21" s="3">
        <f t="shared" si="2"/>
        <v>7.8125E-2</v>
      </c>
      <c r="P21" s="3">
        <f t="shared" si="3"/>
        <v>1</v>
      </c>
    </row>
    <row r="22" spans="6:16" x14ac:dyDescent="0.45">
      <c r="F22" s="2">
        <v>256</v>
      </c>
      <c r="G22" s="3">
        <f t="shared" si="0"/>
        <v>3.90625E-2</v>
      </c>
      <c r="H22" s="2">
        <v>5</v>
      </c>
      <c r="I22" s="3">
        <f t="shared" si="4"/>
        <v>0.128</v>
      </c>
      <c r="J22" s="3">
        <f t="shared" si="1"/>
        <v>0.30517578125</v>
      </c>
      <c r="K22" s="2">
        <v>6</v>
      </c>
      <c r="L22" s="3">
        <f>$G$3/($L$6^(K22-1))</f>
        <v>0.15625</v>
      </c>
      <c r="M22" s="3">
        <f>$G22/L22</f>
        <v>0.25</v>
      </c>
      <c r="N22" s="2">
        <f t="shared" si="5"/>
        <v>128</v>
      </c>
      <c r="O22" s="3">
        <f t="shared" si="2"/>
        <v>3.90625E-2</v>
      </c>
      <c r="P22" s="3">
        <f t="shared" si="3"/>
        <v>1</v>
      </c>
    </row>
    <row r="23" spans="6:16" x14ac:dyDescent="0.45">
      <c r="F23" s="2">
        <v>512</v>
      </c>
      <c r="G23" s="3">
        <f t="shared" si="0"/>
        <v>1.953125E-2</v>
      </c>
      <c r="H23" s="2">
        <v>6</v>
      </c>
      <c r="I23" s="3">
        <f t="shared" si="4"/>
        <v>5.1200000000000002E-2</v>
      </c>
      <c r="J23" s="3">
        <f t="shared" si="1"/>
        <v>0.3814697265625</v>
      </c>
      <c r="K23" s="2">
        <v>7</v>
      </c>
      <c r="L23" s="3">
        <f>$G$3/($L$6^(K23-1))</f>
        <v>7.8125E-2</v>
      </c>
      <c r="M23" s="3">
        <f>$G23/L23</f>
        <v>0.25</v>
      </c>
      <c r="N23" s="2">
        <f t="shared" si="5"/>
        <v>256</v>
      </c>
      <c r="O23" s="3">
        <f t="shared" si="2"/>
        <v>1.953125E-2</v>
      </c>
      <c r="P23" s="3">
        <f t="shared" si="3"/>
        <v>1</v>
      </c>
    </row>
    <row r="24" spans="6:16" x14ac:dyDescent="0.45">
      <c r="F24" s="2">
        <v>1024</v>
      </c>
      <c r="G24" s="3">
        <f t="shared" si="0"/>
        <v>9.765625E-3</v>
      </c>
      <c r="H24" s="2">
        <v>6</v>
      </c>
      <c r="I24" s="3">
        <f t="shared" si="4"/>
        <v>5.1200000000000002E-2</v>
      </c>
      <c r="J24" s="3">
        <f t="shared" si="1"/>
        <v>0.19073486328125</v>
      </c>
      <c r="K24" s="2">
        <v>8</v>
      </c>
      <c r="L24" s="3">
        <f>$G$3/($L$6^(K24-1))</f>
        <v>3.90625E-2</v>
      </c>
      <c r="M24" s="3">
        <f>$G24/L24</f>
        <v>0.25</v>
      </c>
      <c r="N24" s="2">
        <f t="shared" si="5"/>
        <v>512</v>
      </c>
      <c r="O24" s="3">
        <f t="shared" si="2"/>
        <v>9.765625E-3</v>
      </c>
      <c r="P24" s="3">
        <f t="shared" si="3"/>
        <v>1</v>
      </c>
    </row>
  </sheetData>
  <mergeCells count="7">
    <mergeCell ref="P5:P6"/>
    <mergeCell ref="F5:G5"/>
    <mergeCell ref="H5:I5"/>
    <mergeCell ref="J5:J6"/>
    <mergeCell ref="K5:L5"/>
    <mergeCell ref="M5:M6"/>
    <mergeCell ref="N5:O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FA756-755B-4AB0-B636-1FF9A282E593}">
  <dimension ref="F2:P25"/>
  <sheetViews>
    <sheetView zoomScale="70" zoomScaleNormal="70" workbookViewId="0">
      <selection activeCell="R26" sqref="C26:R54"/>
    </sheetView>
  </sheetViews>
  <sheetFormatPr defaultRowHeight="14.25" x14ac:dyDescent="0.45"/>
  <cols>
    <col min="7" max="7" width="9.265625" bestFit="1" customWidth="1"/>
    <col min="8" max="13" width="9.06640625" customWidth="1"/>
  </cols>
  <sheetData>
    <row r="2" spans="6:16" x14ac:dyDescent="0.45">
      <c r="F2" t="s">
        <v>2</v>
      </c>
      <c r="G2">
        <v>40</v>
      </c>
      <c r="H2" t="s">
        <v>3</v>
      </c>
    </row>
    <row r="3" spans="6:16" x14ac:dyDescent="0.45">
      <c r="F3" t="s">
        <v>4</v>
      </c>
      <c r="G3">
        <v>10</v>
      </c>
      <c r="H3" t="s">
        <v>3</v>
      </c>
    </row>
    <row r="5" spans="6:16" x14ac:dyDescent="0.45">
      <c r="F5" s="16" t="s">
        <v>0</v>
      </c>
      <c r="G5" s="16"/>
      <c r="H5" s="16" t="s">
        <v>9</v>
      </c>
      <c r="I5" s="16"/>
      <c r="J5" s="16" t="s">
        <v>6</v>
      </c>
      <c r="K5" s="16" t="s">
        <v>9</v>
      </c>
      <c r="L5" s="16"/>
      <c r="M5" s="16" t="s">
        <v>6</v>
      </c>
      <c r="N5" s="16" t="s">
        <v>8</v>
      </c>
      <c r="O5" s="16"/>
      <c r="P5" s="16" t="s">
        <v>6</v>
      </c>
    </row>
    <row r="6" spans="6:16" x14ac:dyDescent="0.45">
      <c r="F6" s="1" t="s">
        <v>1</v>
      </c>
      <c r="G6" s="1" t="s">
        <v>7</v>
      </c>
      <c r="H6" s="1" t="s">
        <v>1</v>
      </c>
      <c r="I6" s="1">
        <v>2</v>
      </c>
      <c r="J6" s="16"/>
      <c r="K6" s="1" t="s">
        <v>1</v>
      </c>
      <c r="L6" s="5">
        <v>2</v>
      </c>
      <c r="M6" s="16"/>
      <c r="N6" s="1" t="s">
        <v>1</v>
      </c>
      <c r="O6" s="1" t="s">
        <v>7</v>
      </c>
      <c r="P6" s="16"/>
    </row>
    <row r="7" spans="6:16" x14ac:dyDescent="0.45">
      <c r="F7" s="2">
        <v>16</v>
      </c>
      <c r="G7" s="3">
        <f t="shared" ref="G7:G25" si="0">$G$2/F7</f>
        <v>2.5</v>
      </c>
      <c r="H7" s="2">
        <v>2</v>
      </c>
      <c r="I7" s="3">
        <f>$G$3/($I$6^(H7-1))</f>
        <v>5</v>
      </c>
      <c r="J7" s="3">
        <f t="shared" ref="J7:J13" si="1">G7/I7</f>
        <v>0.5</v>
      </c>
      <c r="K7" s="2">
        <v>3</v>
      </c>
      <c r="L7" s="3">
        <f>$G$3/($L$6^(K7-1))</f>
        <v>2.5</v>
      </c>
      <c r="M7" s="3">
        <f>$G7/L7</f>
        <v>1</v>
      </c>
      <c r="N7" s="2">
        <v>4</v>
      </c>
      <c r="O7" s="3">
        <f>$G$3/N7</f>
        <v>2.5</v>
      </c>
      <c r="P7" s="3">
        <f>$G7/O7</f>
        <v>1</v>
      </c>
    </row>
    <row r="8" spans="6:16" x14ac:dyDescent="0.45">
      <c r="F8" s="2">
        <v>24</v>
      </c>
      <c r="G8" s="3">
        <f t="shared" si="0"/>
        <v>1.6666666666666667</v>
      </c>
      <c r="H8" s="2">
        <v>3</v>
      </c>
      <c r="I8" s="3">
        <f>$G$3/($I$6^(H8-1))</f>
        <v>2.5</v>
      </c>
      <c r="J8" s="3">
        <f t="shared" si="1"/>
        <v>0.66666666666666674</v>
      </c>
      <c r="K8" s="2">
        <v>4</v>
      </c>
      <c r="L8" s="3">
        <f>$G$3/($L$6^(K8-1))</f>
        <v>1.25</v>
      </c>
      <c r="M8" s="3">
        <f>$G8/L8</f>
        <v>1.3333333333333335</v>
      </c>
      <c r="N8" s="2">
        <v>6</v>
      </c>
      <c r="O8" s="3">
        <f>$G$3/N8</f>
        <v>1.6666666666666667</v>
      </c>
      <c r="P8" s="3">
        <f>$G8/O8</f>
        <v>1</v>
      </c>
    </row>
    <row r="9" spans="6:16" x14ac:dyDescent="0.45">
      <c r="F9" s="2">
        <v>32</v>
      </c>
      <c r="G9" s="3">
        <f t="shared" si="0"/>
        <v>1.25</v>
      </c>
      <c r="H9" s="2">
        <v>3</v>
      </c>
      <c r="I9" s="3">
        <f>$G$3/($I$6^(H9-1))</f>
        <v>2.5</v>
      </c>
      <c r="J9" s="3">
        <f t="shared" si="1"/>
        <v>0.5</v>
      </c>
      <c r="K9" s="2">
        <v>4</v>
      </c>
      <c r="L9" s="3">
        <f>$G$3/($L$6^(K9-1))</f>
        <v>1.25</v>
      </c>
      <c r="M9" s="3">
        <f>$G9/L9</f>
        <v>1</v>
      </c>
      <c r="N9" s="2">
        <v>8</v>
      </c>
      <c r="O9" s="3">
        <f t="shared" ref="O9:O25" si="2">$G$3/N9</f>
        <v>1.25</v>
      </c>
      <c r="P9" s="3">
        <f t="shared" ref="P9:P25" si="3">$G9/O9</f>
        <v>1</v>
      </c>
    </row>
    <row r="10" spans="6:16" hidden="1" x14ac:dyDescent="0.45">
      <c r="F10" s="2">
        <v>40</v>
      </c>
      <c r="G10" s="3">
        <f t="shared" si="0"/>
        <v>1</v>
      </c>
      <c r="H10" s="2"/>
      <c r="I10" s="3"/>
      <c r="J10" s="3" t="e">
        <f t="shared" si="1"/>
        <v>#DIV/0!</v>
      </c>
      <c r="K10" s="2"/>
      <c r="L10" s="3"/>
      <c r="M10" s="3"/>
      <c r="N10" s="2">
        <v>5</v>
      </c>
      <c r="O10" s="3">
        <f t="shared" si="2"/>
        <v>2</v>
      </c>
      <c r="P10" s="3">
        <f t="shared" si="3"/>
        <v>0.5</v>
      </c>
    </row>
    <row r="11" spans="6:16" x14ac:dyDescent="0.45">
      <c r="F11" s="2">
        <v>48</v>
      </c>
      <c r="G11" s="3">
        <f t="shared" si="0"/>
        <v>0.83333333333333337</v>
      </c>
      <c r="H11" s="2">
        <v>5</v>
      </c>
      <c r="I11" s="3">
        <f t="shared" ref="I11:I25" si="4">$G$3/($I$6^(H11-1))</f>
        <v>0.625</v>
      </c>
      <c r="J11" s="3">
        <f t="shared" si="1"/>
        <v>1.3333333333333335</v>
      </c>
      <c r="K11" s="2">
        <v>5</v>
      </c>
      <c r="L11" s="3">
        <f t="shared" ref="L11:L25" si="5">$G$3/($L$6^(K11-1))</f>
        <v>0.625</v>
      </c>
      <c r="M11" s="3">
        <f t="shared" ref="M11:M25" si="6">$G11/L11</f>
        <v>1.3333333333333335</v>
      </c>
      <c r="N11" s="2">
        <v>12</v>
      </c>
      <c r="O11" s="3">
        <f t="shared" si="2"/>
        <v>0.83333333333333337</v>
      </c>
      <c r="P11" s="3">
        <f t="shared" si="3"/>
        <v>1</v>
      </c>
    </row>
    <row r="12" spans="6:16" x14ac:dyDescent="0.45">
      <c r="F12" s="2">
        <v>56</v>
      </c>
      <c r="G12" s="3">
        <f t="shared" si="0"/>
        <v>0.7142857142857143</v>
      </c>
      <c r="H12" s="2">
        <v>5</v>
      </c>
      <c r="I12" s="3">
        <f t="shared" si="4"/>
        <v>0.625</v>
      </c>
      <c r="J12" s="3">
        <f t="shared" si="1"/>
        <v>1.1428571428571428</v>
      </c>
      <c r="K12" s="2">
        <v>5</v>
      </c>
      <c r="L12" s="3">
        <f t="shared" si="5"/>
        <v>0.625</v>
      </c>
      <c r="M12" s="3">
        <f t="shared" si="6"/>
        <v>1.1428571428571428</v>
      </c>
      <c r="N12" s="2">
        <v>14</v>
      </c>
      <c r="O12" s="3">
        <f t="shared" si="2"/>
        <v>0.7142857142857143</v>
      </c>
      <c r="P12" s="3">
        <f t="shared" si="3"/>
        <v>1</v>
      </c>
    </row>
    <row r="13" spans="6:16" x14ac:dyDescent="0.45">
      <c r="F13" s="2">
        <v>64</v>
      </c>
      <c r="G13" s="3">
        <f t="shared" si="0"/>
        <v>0.625</v>
      </c>
      <c r="H13" s="2">
        <v>5</v>
      </c>
      <c r="I13" s="3">
        <f t="shared" si="4"/>
        <v>0.625</v>
      </c>
      <c r="J13" s="3">
        <f t="shared" si="1"/>
        <v>1</v>
      </c>
      <c r="K13" s="2">
        <v>5</v>
      </c>
      <c r="L13" s="3">
        <f t="shared" si="5"/>
        <v>0.625</v>
      </c>
      <c r="M13" s="3">
        <f t="shared" si="6"/>
        <v>1</v>
      </c>
      <c r="N13" s="2">
        <f>ROUNDUP($G$3/G13,0)</f>
        <v>16</v>
      </c>
      <c r="O13" s="3">
        <f t="shared" si="2"/>
        <v>0.625</v>
      </c>
      <c r="P13" s="3">
        <f t="shared" si="3"/>
        <v>1</v>
      </c>
    </row>
    <row r="14" spans="6:16" x14ac:dyDescent="0.45">
      <c r="F14" s="2">
        <v>72</v>
      </c>
      <c r="G14" s="3">
        <f t="shared" si="0"/>
        <v>0.55555555555555558</v>
      </c>
      <c r="H14" s="2">
        <v>5</v>
      </c>
      <c r="I14" s="3">
        <f t="shared" si="4"/>
        <v>0.625</v>
      </c>
      <c r="J14" s="3">
        <f t="shared" ref="J14:J20" si="7">G14/I14</f>
        <v>0.88888888888888895</v>
      </c>
      <c r="K14" s="2">
        <v>6</v>
      </c>
      <c r="L14" s="3">
        <f t="shared" si="5"/>
        <v>0.3125</v>
      </c>
      <c r="M14" s="3">
        <f t="shared" si="6"/>
        <v>1.7777777777777779</v>
      </c>
      <c r="N14" s="2">
        <v>18</v>
      </c>
      <c r="O14" s="3">
        <f t="shared" si="2"/>
        <v>0.55555555555555558</v>
      </c>
      <c r="P14" s="3">
        <f t="shared" si="3"/>
        <v>1</v>
      </c>
    </row>
    <row r="15" spans="6:16" x14ac:dyDescent="0.45">
      <c r="F15" s="2">
        <v>80</v>
      </c>
      <c r="G15" s="3">
        <f t="shared" si="0"/>
        <v>0.5</v>
      </c>
      <c r="H15" s="2">
        <v>5</v>
      </c>
      <c r="I15" s="3">
        <f t="shared" si="4"/>
        <v>0.625</v>
      </c>
      <c r="J15" s="3">
        <f t="shared" si="7"/>
        <v>0.8</v>
      </c>
      <c r="K15" s="2">
        <v>6</v>
      </c>
      <c r="L15" s="3">
        <f t="shared" si="5"/>
        <v>0.3125</v>
      </c>
      <c r="M15" s="3">
        <f t="shared" si="6"/>
        <v>1.6</v>
      </c>
      <c r="N15" s="2">
        <v>20</v>
      </c>
      <c r="O15" s="3">
        <f t="shared" si="2"/>
        <v>0.5</v>
      </c>
      <c r="P15" s="3">
        <f t="shared" si="3"/>
        <v>1</v>
      </c>
    </row>
    <row r="16" spans="6:16" x14ac:dyDescent="0.45">
      <c r="F16" s="2">
        <v>88</v>
      </c>
      <c r="G16" s="3">
        <f t="shared" si="0"/>
        <v>0.45454545454545453</v>
      </c>
      <c r="H16" s="2">
        <v>5</v>
      </c>
      <c r="I16" s="3">
        <f t="shared" si="4"/>
        <v>0.625</v>
      </c>
      <c r="J16" s="3">
        <f t="shared" si="7"/>
        <v>0.72727272727272729</v>
      </c>
      <c r="K16" s="2">
        <v>6</v>
      </c>
      <c r="L16" s="3">
        <f t="shared" si="5"/>
        <v>0.3125</v>
      </c>
      <c r="M16" s="3">
        <f t="shared" si="6"/>
        <v>1.4545454545454546</v>
      </c>
      <c r="N16" s="2">
        <v>22</v>
      </c>
      <c r="O16" s="3">
        <f t="shared" si="2"/>
        <v>0.45454545454545453</v>
      </c>
      <c r="P16" s="3">
        <f t="shared" si="3"/>
        <v>1</v>
      </c>
    </row>
    <row r="17" spans="6:16" x14ac:dyDescent="0.45">
      <c r="F17" s="2">
        <v>96</v>
      </c>
      <c r="G17" s="3">
        <f t="shared" si="0"/>
        <v>0.41666666666666669</v>
      </c>
      <c r="H17" s="2">
        <v>5</v>
      </c>
      <c r="I17" s="3">
        <f t="shared" si="4"/>
        <v>0.625</v>
      </c>
      <c r="J17" s="3">
        <f t="shared" si="7"/>
        <v>0.66666666666666674</v>
      </c>
      <c r="K17" s="2">
        <v>6</v>
      </c>
      <c r="L17" s="3">
        <f t="shared" si="5"/>
        <v>0.3125</v>
      </c>
      <c r="M17" s="3">
        <f t="shared" si="6"/>
        <v>1.3333333333333335</v>
      </c>
      <c r="N17" s="2">
        <v>24</v>
      </c>
      <c r="O17" s="3">
        <f t="shared" si="2"/>
        <v>0.41666666666666669</v>
      </c>
      <c r="P17" s="3">
        <f t="shared" si="3"/>
        <v>1</v>
      </c>
    </row>
    <row r="18" spans="6:16" x14ac:dyDescent="0.45">
      <c r="F18" s="2">
        <v>104</v>
      </c>
      <c r="G18" s="3">
        <f t="shared" si="0"/>
        <v>0.38461538461538464</v>
      </c>
      <c r="H18" s="2">
        <v>5</v>
      </c>
      <c r="I18" s="3">
        <f t="shared" si="4"/>
        <v>0.625</v>
      </c>
      <c r="J18" s="3">
        <f t="shared" si="7"/>
        <v>0.61538461538461542</v>
      </c>
      <c r="K18" s="2">
        <v>6</v>
      </c>
      <c r="L18" s="3">
        <f t="shared" si="5"/>
        <v>0.3125</v>
      </c>
      <c r="M18" s="3">
        <f t="shared" si="6"/>
        <v>1.2307692307692308</v>
      </c>
      <c r="N18" s="2">
        <v>26</v>
      </c>
      <c r="O18" s="3">
        <f t="shared" si="2"/>
        <v>0.38461538461538464</v>
      </c>
      <c r="P18" s="3">
        <f t="shared" si="3"/>
        <v>1</v>
      </c>
    </row>
    <row r="19" spans="6:16" x14ac:dyDescent="0.45">
      <c r="F19" s="2">
        <v>112</v>
      </c>
      <c r="G19" s="3">
        <f t="shared" si="0"/>
        <v>0.35714285714285715</v>
      </c>
      <c r="H19" s="2">
        <v>5</v>
      </c>
      <c r="I19" s="3">
        <f t="shared" si="4"/>
        <v>0.625</v>
      </c>
      <c r="J19" s="3">
        <f t="shared" si="7"/>
        <v>0.5714285714285714</v>
      </c>
      <c r="K19" s="2">
        <v>6</v>
      </c>
      <c r="L19" s="3">
        <f t="shared" si="5"/>
        <v>0.3125</v>
      </c>
      <c r="M19" s="3">
        <f t="shared" si="6"/>
        <v>1.1428571428571428</v>
      </c>
      <c r="N19" s="2">
        <v>28</v>
      </c>
      <c r="O19" s="3">
        <f t="shared" si="2"/>
        <v>0.35714285714285715</v>
      </c>
      <c r="P19" s="3">
        <f t="shared" si="3"/>
        <v>1</v>
      </c>
    </row>
    <row r="20" spans="6:16" x14ac:dyDescent="0.45">
      <c r="F20" s="2">
        <v>120</v>
      </c>
      <c r="G20" s="3">
        <f t="shared" si="0"/>
        <v>0.33333333333333331</v>
      </c>
      <c r="H20" s="2">
        <v>5</v>
      </c>
      <c r="I20" s="3">
        <f t="shared" si="4"/>
        <v>0.625</v>
      </c>
      <c r="J20" s="3">
        <f t="shared" si="7"/>
        <v>0.53333333333333333</v>
      </c>
      <c r="K20" s="2">
        <v>6</v>
      </c>
      <c r="L20" s="3">
        <f t="shared" si="5"/>
        <v>0.3125</v>
      </c>
      <c r="M20" s="3">
        <f t="shared" si="6"/>
        <v>1.0666666666666667</v>
      </c>
      <c r="N20" s="2">
        <v>30</v>
      </c>
      <c r="O20" s="3">
        <f t="shared" si="2"/>
        <v>0.33333333333333331</v>
      </c>
      <c r="P20" s="3">
        <f t="shared" si="3"/>
        <v>1</v>
      </c>
    </row>
    <row r="21" spans="6:16" x14ac:dyDescent="0.45">
      <c r="F21" s="2">
        <v>128</v>
      </c>
      <c r="G21" s="3">
        <f t="shared" si="0"/>
        <v>0.3125</v>
      </c>
      <c r="H21" s="2">
        <v>5</v>
      </c>
      <c r="I21" s="3">
        <f t="shared" si="4"/>
        <v>0.625</v>
      </c>
      <c r="J21" s="3">
        <f>G21/I21</f>
        <v>0.5</v>
      </c>
      <c r="K21" s="2">
        <v>6</v>
      </c>
      <c r="L21" s="3">
        <f t="shared" si="5"/>
        <v>0.3125</v>
      </c>
      <c r="M21" s="3">
        <f t="shared" si="6"/>
        <v>1</v>
      </c>
      <c r="N21" s="2">
        <v>32</v>
      </c>
      <c r="O21" s="3">
        <f t="shared" si="2"/>
        <v>0.3125</v>
      </c>
      <c r="P21" s="3">
        <f t="shared" si="3"/>
        <v>1</v>
      </c>
    </row>
    <row r="22" spans="6:16" x14ac:dyDescent="0.45">
      <c r="F22" s="10">
        <f>8*25</f>
        <v>200</v>
      </c>
      <c r="G22" s="11">
        <f t="shared" si="0"/>
        <v>0.2</v>
      </c>
      <c r="H22" s="10">
        <v>10</v>
      </c>
      <c r="I22" s="11">
        <f>$G$3/($I$6^(H22-1))</f>
        <v>1.953125E-2</v>
      </c>
      <c r="J22" s="11">
        <f>G22/I22</f>
        <v>10.24</v>
      </c>
      <c r="K22" s="2">
        <v>7</v>
      </c>
      <c r="L22" s="3">
        <f t="shared" si="5"/>
        <v>0.15625</v>
      </c>
      <c r="M22" s="3">
        <f t="shared" si="6"/>
        <v>1.28</v>
      </c>
      <c r="N22" s="2">
        <v>50</v>
      </c>
      <c r="O22" s="3">
        <f>$G$3/N22</f>
        <v>0.2</v>
      </c>
      <c r="P22" s="3">
        <f>$G22/O22</f>
        <v>1</v>
      </c>
    </row>
    <row r="23" spans="6:16" x14ac:dyDescent="0.45">
      <c r="F23" s="2">
        <v>256</v>
      </c>
      <c r="G23" s="3">
        <f t="shared" si="0"/>
        <v>0.15625</v>
      </c>
      <c r="H23" s="2">
        <v>5</v>
      </c>
      <c r="I23" s="3">
        <f t="shared" si="4"/>
        <v>0.625</v>
      </c>
      <c r="J23" s="3">
        <f>G23/I23</f>
        <v>0.25</v>
      </c>
      <c r="K23" s="2">
        <v>7</v>
      </c>
      <c r="L23" s="3">
        <f t="shared" si="5"/>
        <v>0.15625</v>
      </c>
      <c r="M23" s="3">
        <f t="shared" si="6"/>
        <v>1</v>
      </c>
      <c r="N23" s="2">
        <v>64</v>
      </c>
      <c r="O23" s="3">
        <f t="shared" si="2"/>
        <v>0.15625</v>
      </c>
      <c r="P23" s="3">
        <f t="shared" si="3"/>
        <v>1</v>
      </c>
    </row>
    <row r="24" spans="6:16" x14ac:dyDescent="0.45">
      <c r="F24" s="2">
        <v>512</v>
      </c>
      <c r="G24" s="3">
        <f t="shared" si="0"/>
        <v>7.8125E-2</v>
      </c>
      <c r="H24" s="2">
        <v>6</v>
      </c>
      <c r="I24" s="3">
        <f t="shared" si="4"/>
        <v>0.3125</v>
      </c>
      <c r="J24" s="3">
        <f>G24/I24</f>
        <v>0.25</v>
      </c>
      <c r="K24" s="2">
        <v>7</v>
      </c>
      <c r="L24" s="3">
        <f t="shared" si="5"/>
        <v>0.15625</v>
      </c>
      <c r="M24" s="3">
        <f t="shared" si="6"/>
        <v>0.5</v>
      </c>
      <c r="N24" s="2">
        <v>128</v>
      </c>
      <c r="O24" s="3">
        <f t="shared" si="2"/>
        <v>7.8125E-2</v>
      </c>
      <c r="P24" s="3">
        <f t="shared" si="3"/>
        <v>1</v>
      </c>
    </row>
    <row r="25" spans="6:16" x14ac:dyDescent="0.45">
      <c r="F25" s="2">
        <v>1024</v>
      </c>
      <c r="G25" s="3">
        <f t="shared" si="0"/>
        <v>3.90625E-2</v>
      </c>
      <c r="H25" s="2">
        <v>6</v>
      </c>
      <c r="I25" s="3">
        <f t="shared" si="4"/>
        <v>0.3125</v>
      </c>
      <c r="J25" s="3">
        <f>G25/I25</f>
        <v>0.125</v>
      </c>
      <c r="K25" s="2">
        <v>7</v>
      </c>
      <c r="L25" s="3">
        <f t="shared" si="5"/>
        <v>0.15625</v>
      </c>
      <c r="M25" s="3">
        <f t="shared" si="6"/>
        <v>0.25</v>
      </c>
      <c r="N25" s="2">
        <v>256</v>
      </c>
      <c r="O25" s="3">
        <f t="shared" si="2"/>
        <v>3.90625E-2</v>
      </c>
      <c r="P25" s="3">
        <f t="shared" si="3"/>
        <v>1</v>
      </c>
    </row>
  </sheetData>
  <mergeCells count="7">
    <mergeCell ref="P5:P6"/>
    <mergeCell ref="F5:G5"/>
    <mergeCell ref="H5:I5"/>
    <mergeCell ref="J5:J6"/>
    <mergeCell ref="K5:L5"/>
    <mergeCell ref="M5:M6"/>
    <mergeCell ref="N5:O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B10BF-CCDD-452E-8C7B-9080D4771E36}">
  <dimension ref="F2:P14"/>
  <sheetViews>
    <sheetView workbookViewId="0">
      <selection activeCell="T14" sqref="R4:T14"/>
    </sheetView>
  </sheetViews>
  <sheetFormatPr defaultRowHeight="14.25" x14ac:dyDescent="0.45"/>
  <cols>
    <col min="8" max="10" width="9.06640625" hidden="1" customWidth="1"/>
    <col min="11" max="13" width="9.06640625" customWidth="1"/>
  </cols>
  <sheetData>
    <row r="2" spans="6:16" x14ac:dyDescent="0.45">
      <c r="F2" t="s">
        <v>2</v>
      </c>
      <c r="G2">
        <v>20</v>
      </c>
      <c r="H2" t="s">
        <v>3</v>
      </c>
    </row>
    <row r="3" spans="6:16" x14ac:dyDescent="0.45">
      <c r="F3" t="s">
        <v>4</v>
      </c>
      <c r="G3">
        <v>1.1000000000000001</v>
      </c>
      <c r="H3" t="s">
        <v>3</v>
      </c>
    </row>
    <row r="5" spans="6:16" x14ac:dyDescent="0.45">
      <c r="F5" s="16" t="s">
        <v>0</v>
      </c>
      <c r="G5" s="16"/>
      <c r="H5" s="16" t="s">
        <v>5</v>
      </c>
      <c r="I5" s="16"/>
      <c r="J5" s="16" t="s">
        <v>6</v>
      </c>
      <c r="K5" s="16" t="s">
        <v>9</v>
      </c>
      <c r="L5" s="16"/>
      <c r="M5" s="16" t="s">
        <v>6</v>
      </c>
      <c r="N5" s="16" t="s">
        <v>8</v>
      </c>
      <c r="O5" s="16"/>
      <c r="P5" s="16" t="s">
        <v>6</v>
      </c>
    </row>
    <row r="6" spans="6:16" x14ac:dyDescent="0.45">
      <c r="F6" s="1" t="s">
        <v>1</v>
      </c>
      <c r="G6" s="1" t="s">
        <v>7</v>
      </c>
      <c r="H6" s="1" t="s">
        <v>1</v>
      </c>
      <c r="I6" s="1">
        <v>2.5</v>
      </c>
      <c r="J6" s="16"/>
      <c r="K6" s="1" t="s">
        <v>1</v>
      </c>
      <c r="L6" s="5">
        <v>2</v>
      </c>
      <c r="M6" s="16"/>
      <c r="N6" s="1" t="s">
        <v>1</v>
      </c>
      <c r="O6" s="1" t="s">
        <v>7</v>
      </c>
      <c r="P6" s="16"/>
    </row>
    <row r="7" spans="6:16" x14ac:dyDescent="0.45">
      <c r="F7" s="2">
        <v>16</v>
      </c>
      <c r="G7" s="3">
        <f t="shared" ref="G7:G13" si="0">$G$2/F7</f>
        <v>1.25</v>
      </c>
      <c r="H7" s="2">
        <v>2</v>
      </c>
      <c r="I7" s="3">
        <f t="shared" ref="I7:I13" si="1">$G$3/($I$6^(H7-1))</f>
        <v>0.44000000000000006</v>
      </c>
      <c r="J7" s="3">
        <f t="shared" ref="J7:J13" si="2">G7/I7</f>
        <v>2.8409090909090904</v>
      </c>
      <c r="K7" s="2">
        <v>2</v>
      </c>
      <c r="L7" s="3">
        <f t="shared" ref="L7:L13" si="3">$G$3/($L$6^(K7-1))</f>
        <v>0.55000000000000004</v>
      </c>
      <c r="M7" s="3">
        <f t="shared" ref="M7:M13" si="4">$G7/L7</f>
        <v>2.2727272727272725</v>
      </c>
      <c r="N7" s="2">
        <f>ROUNDUP($G$3/G7,0)</f>
        <v>1</v>
      </c>
      <c r="O7" s="3">
        <f>$G$3/N7</f>
        <v>1.1000000000000001</v>
      </c>
      <c r="P7" s="3">
        <f>$G7/O7</f>
        <v>1.1363636363636362</v>
      </c>
    </row>
    <row r="8" spans="6:16" x14ac:dyDescent="0.45">
      <c r="F8" s="2">
        <v>32</v>
      </c>
      <c r="G8" s="3">
        <f t="shared" si="0"/>
        <v>0.625</v>
      </c>
      <c r="H8" s="2">
        <v>3</v>
      </c>
      <c r="I8" s="3">
        <f t="shared" si="1"/>
        <v>0.17600000000000002</v>
      </c>
      <c r="J8" s="3">
        <f t="shared" si="2"/>
        <v>3.5511363636363633</v>
      </c>
      <c r="K8" s="2">
        <v>3</v>
      </c>
      <c r="L8" s="3">
        <f t="shared" si="3"/>
        <v>0.27500000000000002</v>
      </c>
      <c r="M8" s="3">
        <f t="shared" si="4"/>
        <v>2.2727272727272725</v>
      </c>
      <c r="N8" s="2">
        <f>ROUNDUP($G$3/G8,0)</f>
        <v>2</v>
      </c>
      <c r="O8" s="3">
        <f t="shared" ref="O8:O13" si="5">$G$3/N8</f>
        <v>0.55000000000000004</v>
      </c>
      <c r="P8" s="3">
        <f t="shared" ref="P8:P13" si="6">$G8/O8</f>
        <v>1.1363636363636362</v>
      </c>
    </row>
    <row r="9" spans="6:16" x14ac:dyDescent="0.45">
      <c r="F9" s="2">
        <v>64</v>
      </c>
      <c r="G9" s="3">
        <f t="shared" si="0"/>
        <v>0.3125</v>
      </c>
      <c r="H9" s="2">
        <v>3</v>
      </c>
      <c r="I9" s="3">
        <f t="shared" si="1"/>
        <v>0.17600000000000002</v>
      </c>
      <c r="J9" s="3">
        <f t="shared" si="2"/>
        <v>1.7755681818181817</v>
      </c>
      <c r="K9" s="2">
        <v>4</v>
      </c>
      <c r="L9" s="3">
        <f t="shared" si="3"/>
        <v>0.13750000000000001</v>
      </c>
      <c r="M9" s="3">
        <f t="shared" si="4"/>
        <v>2.2727272727272725</v>
      </c>
      <c r="N9" s="2">
        <f>ROUNDUP($G$3/G9,0)</f>
        <v>4</v>
      </c>
      <c r="O9" s="3">
        <f t="shared" si="5"/>
        <v>0.27500000000000002</v>
      </c>
      <c r="P9" s="3">
        <f t="shared" si="6"/>
        <v>1.1363636363636362</v>
      </c>
    </row>
    <row r="10" spans="6:16" x14ac:dyDescent="0.45">
      <c r="F10" s="2">
        <v>128</v>
      </c>
      <c r="G10" s="3">
        <f t="shared" si="0"/>
        <v>0.15625</v>
      </c>
      <c r="H10" s="2">
        <v>4</v>
      </c>
      <c r="I10" s="3">
        <f t="shared" si="1"/>
        <v>7.0400000000000004E-2</v>
      </c>
      <c r="J10" s="3">
        <f t="shared" si="2"/>
        <v>2.2194602272727271</v>
      </c>
      <c r="K10" s="2">
        <v>5</v>
      </c>
      <c r="L10" s="3">
        <f t="shared" si="3"/>
        <v>6.8750000000000006E-2</v>
      </c>
      <c r="M10" s="3">
        <f t="shared" si="4"/>
        <v>2.2727272727272725</v>
      </c>
      <c r="N10" s="2">
        <f>ROUNDUP($G$3/G10,0)</f>
        <v>8</v>
      </c>
      <c r="O10" s="3">
        <f t="shared" si="5"/>
        <v>0.13750000000000001</v>
      </c>
      <c r="P10" s="3">
        <f t="shared" si="6"/>
        <v>1.1363636363636362</v>
      </c>
    </row>
    <row r="11" spans="6:16" x14ac:dyDescent="0.45">
      <c r="F11" s="2">
        <v>256</v>
      </c>
      <c r="G11" s="3">
        <f t="shared" si="0"/>
        <v>7.8125E-2</v>
      </c>
      <c r="H11" s="2">
        <v>5</v>
      </c>
      <c r="I11" s="3">
        <f t="shared" si="1"/>
        <v>2.8160000000000001E-2</v>
      </c>
      <c r="J11" s="3">
        <f t="shared" si="2"/>
        <v>2.7743252840909092</v>
      </c>
      <c r="K11" s="2">
        <v>6</v>
      </c>
      <c r="L11" s="3">
        <f t="shared" si="3"/>
        <v>3.4375000000000003E-2</v>
      </c>
      <c r="M11" s="3">
        <f t="shared" si="4"/>
        <v>2.2727272727272725</v>
      </c>
      <c r="N11" s="2">
        <v>16</v>
      </c>
      <c r="O11" s="3">
        <f t="shared" si="5"/>
        <v>6.8750000000000006E-2</v>
      </c>
      <c r="P11" s="3">
        <f t="shared" si="6"/>
        <v>1.1363636363636362</v>
      </c>
    </row>
    <row r="12" spans="6:16" x14ac:dyDescent="0.45">
      <c r="F12" s="2">
        <v>512</v>
      </c>
      <c r="G12" s="3">
        <f t="shared" si="0"/>
        <v>3.90625E-2</v>
      </c>
      <c r="H12" s="2">
        <v>6</v>
      </c>
      <c r="I12" s="3">
        <f t="shared" si="1"/>
        <v>1.1264000000000001E-2</v>
      </c>
      <c r="J12" s="3">
        <f t="shared" si="2"/>
        <v>3.4679066051136358</v>
      </c>
      <c r="K12" s="2">
        <v>7</v>
      </c>
      <c r="L12" s="3">
        <f t="shared" si="3"/>
        <v>1.7187500000000001E-2</v>
      </c>
      <c r="M12" s="3">
        <f t="shared" si="4"/>
        <v>2.2727272727272725</v>
      </c>
      <c r="N12" s="2">
        <v>32</v>
      </c>
      <c r="O12" s="3">
        <f t="shared" si="5"/>
        <v>3.4375000000000003E-2</v>
      </c>
      <c r="P12" s="3">
        <f t="shared" si="6"/>
        <v>1.1363636363636362</v>
      </c>
    </row>
    <row r="13" spans="6:16" x14ac:dyDescent="0.45">
      <c r="F13" s="2">
        <v>1024</v>
      </c>
      <c r="G13" s="3">
        <f t="shared" si="0"/>
        <v>1.953125E-2</v>
      </c>
      <c r="H13" s="2">
        <v>6</v>
      </c>
      <c r="I13" s="3">
        <f t="shared" si="1"/>
        <v>1.1264000000000001E-2</v>
      </c>
      <c r="J13" s="3">
        <f t="shared" si="2"/>
        <v>1.7339533025568179</v>
      </c>
      <c r="K13" s="2">
        <v>8</v>
      </c>
      <c r="L13" s="3">
        <f t="shared" si="3"/>
        <v>8.5937500000000007E-3</v>
      </c>
      <c r="M13" s="3">
        <f t="shared" si="4"/>
        <v>2.2727272727272725</v>
      </c>
      <c r="N13" s="2">
        <v>64</v>
      </c>
      <c r="O13" s="3">
        <f t="shared" si="5"/>
        <v>1.7187500000000001E-2</v>
      </c>
      <c r="P13" s="3">
        <f t="shared" si="6"/>
        <v>1.1363636363636362</v>
      </c>
    </row>
    <row r="14" spans="6:16" x14ac:dyDescent="0.45">
      <c r="G14" s="4"/>
    </row>
  </sheetData>
  <mergeCells count="7">
    <mergeCell ref="P5:P6"/>
    <mergeCell ref="F5:G5"/>
    <mergeCell ref="J5:J6"/>
    <mergeCell ref="H5:I5"/>
    <mergeCell ref="K5:L5"/>
    <mergeCell ref="M5:M6"/>
    <mergeCell ref="N5:O5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7F518-ECB0-4450-894A-C4F68DB9D57B}">
  <dimension ref="D52:J1028"/>
  <sheetViews>
    <sheetView workbookViewId="0"/>
  </sheetViews>
  <sheetFormatPr defaultRowHeight="14.25" x14ac:dyDescent="0.45"/>
  <cols>
    <col min="4" max="18" width="6.9296875" customWidth="1"/>
  </cols>
  <sheetData>
    <row r="52" spans="4:10" x14ac:dyDescent="0.45">
      <c r="F52" s="6"/>
      <c r="J52" s="6"/>
    </row>
    <row r="53" spans="4:10" x14ac:dyDescent="0.45">
      <c r="F53" s="6"/>
      <c r="J53" s="6"/>
    </row>
    <row r="54" spans="4:10" x14ac:dyDescent="0.45">
      <c r="F54" s="6"/>
      <c r="J54" s="6"/>
    </row>
    <row r="60" spans="4:10" x14ac:dyDescent="0.45">
      <c r="D60" s="6"/>
      <c r="H60" s="6"/>
    </row>
    <row r="83" spans="4:10" x14ac:dyDescent="0.45">
      <c r="F83" s="6"/>
      <c r="J83" s="6"/>
    </row>
    <row r="84" spans="4:10" x14ac:dyDescent="0.45">
      <c r="F84" s="6"/>
      <c r="J84" s="6"/>
    </row>
    <row r="85" spans="4:10" x14ac:dyDescent="0.45">
      <c r="F85" s="6"/>
      <c r="J85" s="6"/>
    </row>
    <row r="91" spans="4:10" x14ac:dyDescent="0.45">
      <c r="D91" s="6"/>
      <c r="H91" s="6"/>
    </row>
    <row r="92" spans="4:10" x14ac:dyDescent="0.45">
      <c r="D92" s="6"/>
      <c r="H92" s="6"/>
    </row>
    <row r="115" spans="4:10" x14ac:dyDescent="0.45">
      <c r="F115" s="6"/>
      <c r="J115" s="6"/>
    </row>
    <row r="116" spans="4:10" x14ac:dyDescent="0.45">
      <c r="F116" s="6"/>
      <c r="J116" s="6"/>
    </row>
    <row r="123" spans="4:10" x14ac:dyDescent="0.45">
      <c r="D123" s="6"/>
      <c r="H123" s="6"/>
    </row>
    <row r="146" spans="4:10" x14ac:dyDescent="0.45">
      <c r="F146" s="6"/>
      <c r="J146" s="6"/>
    </row>
    <row r="147" spans="4:10" x14ac:dyDescent="0.45">
      <c r="F147" s="6"/>
      <c r="J147" s="6"/>
    </row>
    <row r="154" spans="4:10" x14ac:dyDescent="0.45">
      <c r="D154" s="6"/>
      <c r="H154" s="6"/>
    </row>
    <row r="177" spans="4:10" x14ac:dyDescent="0.45">
      <c r="F177" s="6"/>
      <c r="J177" s="6"/>
    </row>
    <row r="178" spans="4:10" x14ac:dyDescent="0.45">
      <c r="F178" s="6"/>
      <c r="J178" s="6"/>
    </row>
    <row r="179" spans="4:10" x14ac:dyDescent="0.45">
      <c r="F179" s="6"/>
      <c r="J179" s="6"/>
    </row>
    <row r="185" spans="4:10" x14ac:dyDescent="0.45">
      <c r="D185" s="6"/>
      <c r="H185" s="6"/>
    </row>
    <row r="186" spans="4:10" x14ac:dyDescent="0.45">
      <c r="D186" s="6"/>
      <c r="H186" s="6"/>
    </row>
    <row r="208" spans="6:10" x14ac:dyDescent="0.45">
      <c r="F208" s="6"/>
      <c r="J208" s="6"/>
    </row>
    <row r="209" spans="4:10" x14ac:dyDescent="0.45">
      <c r="F209" s="6"/>
      <c r="J209" s="6"/>
    </row>
    <row r="210" spans="4:10" x14ac:dyDescent="0.45">
      <c r="F210" s="6"/>
      <c r="J210" s="6"/>
    </row>
    <row r="217" spans="4:10" x14ac:dyDescent="0.45">
      <c r="D217" s="6"/>
      <c r="H217" s="6"/>
    </row>
    <row r="238" spans="6:10" x14ac:dyDescent="0.45">
      <c r="F238" s="6"/>
      <c r="J238" s="6"/>
    </row>
    <row r="239" spans="6:10" x14ac:dyDescent="0.45">
      <c r="F239" s="6"/>
      <c r="J239" s="6"/>
    </row>
    <row r="246" spans="4:8" x14ac:dyDescent="0.45">
      <c r="D246" s="6"/>
      <c r="H246" s="6"/>
    </row>
    <row r="316" spans="6:10" x14ac:dyDescent="0.45">
      <c r="F316" s="6"/>
      <c r="J316" s="6"/>
    </row>
    <row r="317" spans="6:10" x14ac:dyDescent="0.45">
      <c r="F317" s="6"/>
      <c r="J317" s="6"/>
    </row>
    <row r="318" spans="6:10" x14ac:dyDescent="0.45">
      <c r="F318" s="6"/>
      <c r="J318" s="6"/>
    </row>
    <row r="319" spans="6:10" x14ac:dyDescent="0.45">
      <c r="F319" s="6"/>
      <c r="J319" s="6"/>
    </row>
    <row r="320" spans="6:10" x14ac:dyDescent="0.45">
      <c r="F320" s="6"/>
      <c r="J320" s="6"/>
    </row>
    <row r="321" spans="6:10" x14ac:dyDescent="0.45">
      <c r="F321" s="6"/>
      <c r="J321" s="6"/>
    </row>
    <row r="337" spans="4:8" x14ac:dyDescent="0.45">
      <c r="D337" s="6"/>
      <c r="H337" s="6"/>
    </row>
    <row r="338" spans="4:8" x14ac:dyDescent="0.45">
      <c r="D338" s="6"/>
      <c r="H338" s="6"/>
    </row>
    <row r="339" spans="4:8" x14ac:dyDescent="0.45">
      <c r="D339" s="6"/>
      <c r="H339" s="6"/>
    </row>
    <row r="340" spans="4:8" x14ac:dyDescent="0.45">
      <c r="D340" s="6"/>
      <c r="H340" s="6"/>
    </row>
    <row r="404" spans="6:10" x14ac:dyDescent="0.45">
      <c r="F404" s="6"/>
      <c r="J404" s="6"/>
    </row>
    <row r="405" spans="6:10" x14ac:dyDescent="0.45">
      <c r="F405" s="6"/>
      <c r="J405" s="6"/>
    </row>
    <row r="406" spans="6:10" x14ac:dyDescent="0.45">
      <c r="F406" s="6"/>
      <c r="J406" s="6"/>
    </row>
    <row r="407" spans="6:10" x14ac:dyDescent="0.45">
      <c r="F407" s="6"/>
      <c r="J407" s="6"/>
    </row>
    <row r="408" spans="6:10" x14ac:dyDescent="0.45">
      <c r="F408" s="6"/>
      <c r="J408" s="6"/>
    </row>
    <row r="409" spans="6:10" x14ac:dyDescent="0.45">
      <c r="F409" s="6"/>
      <c r="J409" s="6"/>
    </row>
    <row r="410" spans="6:10" x14ac:dyDescent="0.45">
      <c r="F410" s="6"/>
      <c r="J410" s="6"/>
    </row>
    <row r="429" spans="4:8" x14ac:dyDescent="0.45">
      <c r="D429" s="6"/>
      <c r="H429" s="6"/>
    </row>
    <row r="430" spans="4:8" x14ac:dyDescent="0.45">
      <c r="D430" s="6"/>
      <c r="H430" s="6"/>
    </row>
    <row r="431" spans="4:8" x14ac:dyDescent="0.45">
      <c r="D431" s="6"/>
      <c r="H431" s="6"/>
    </row>
    <row r="497" spans="6:10" x14ac:dyDescent="0.45">
      <c r="F497" s="6"/>
      <c r="J497" s="6"/>
    </row>
    <row r="498" spans="6:10" x14ac:dyDescent="0.45">
      <c r="F498" s="6"/>
      <c r="J498" s="6"/>
    </row>
    <row r="499" spans="6:10" x14ac:dyDescent="0.45">
      <c r="F499" s="6"/>
      <c r="J499" s="6"/>
    </row>
    <row r="500" spans="6:10" x14ac:dyDescent="0.45">
      <c r="F500" s="6"/>
      <c r="J500" s="6"/>
    </row>
    <row r="501" spans="6:10" x14ac:dyDescent="0.45">
      <c r="F501" s="6"/>
      <c r="J501" s="6"/>
    </row>
    <row r="502" spans="6:10" x14ac:dyDescent="0.45">
      <c r="F502" s="6"/>
      <c r="J502" s="6"/>
    </row>
    <row r="503" spans="6:10" x14ac:dyDescent="0.45">
      <c r="F503" s="6"/>
      <c r="J503" s="6"/>
    </row>
    <row r="522" spans="4:8" x14ac:dyDescent="0.45">
      <c r="D522" s="6"/>
      <c r="H522" s="6"/>
    </row>
    <row r="523" spans="4:8" x14ac:dyDescent="0.45">
      <c r="D523" s="6"/>
      <c r="H523" s="6"/>
    </row>
    <row r="524" spans="4:8" x14ac:dyDescent="0.45">
      <c r="D524" s="6"/>
      <c r="H524" s="6"/>
    </row>
    <row r="591" spans="6:10" x14ac:dyDescent="0.45">
      <c r="F591" s="6"/>
      <c r="J591" s="6"/>
    </row>
    <row r="592" spans="6:10" x14ac:dyDescent="0.45">
      <c r="F592" s="6"/>
      <c r="J592" s="6"/>
    </row>
    <row r="593" spans="6:10" x14ac:dyDescent="0.45">
      <c r="F593" s="6"/>
      <c r="J593" s="6"/>
    </row>
    <row r="594" spans="6:10" x14ac:dyDescent="0.45">
      <c r="F594" s="6"/>
      <c r="J594" s="6"/>
    </row>
    <row r="595" spans="6:10" x14ac:dyDescent="0.45">
      <c r="F595" s="6"/>
      <c r="J595" s="6"/>
    </row>
    <row r="596" spans="6:10" x14ac:dyDescent="0.45">
      <c r="F596" s="6"/>
      <c r="J596" s="6"/>
    </row>
    <row r="597" spans="6:10" x14ac:dyDescent="0.45">
      <c r="F597" s="6"/>
      <c r="J597" s="6"/>
    </row>
    <row r="598" spans="6:10" x14ac:dyDescent="0.45">
      <c r="F598" s="6"/>
      <c r="J598" s="6"/>
    </row>
    <row r="616" spans="4:8" x14ac:dyDescent="0.45">
      <c r="D616" s="6"/>
      <c r="H616" s="6"/>
    </row>
    <row r="617" spans="4:8" x14ac:dyDescent="0.45">
      <c r="D617" s="6"/>
      <c r="H617" s="6"/>
    </row>
    <row r="618" spans="4:8" x14ac:dyDescent="0.45">
      <c r="D618" s="6"/>
      <c r="H618" s="6"/>
    </row>
    <row r="619" spans="4:8" x14ac:dyDescent="0.45">
      <c r="D619" s="6"/>
      <c r="H619" s="6"/>
    </row>
    <row r="685" spans="6:10" x14ac:dyDescent="0.45">
      <c r="F685" s="6"/>
      <c r="J685" s="6"/>
    </row>
    <row r="686" spans="6:10" x14ac:dyDescent="0.45">
      <c r="F686" s="6"/>
      <c r="J686" s="6"/>
    </row>
    <row r="687" spans="6:10" x14ac:dyDescent="0.45">
      <c r="F687" s="6"/>
      <c r="J687" s="6"/>
    </row>
    <row r="688" spans="6:10" x14ac:dyDescent="0.45">
      <c r="F688" s="6"/>
      <c r="J688" s="6"/>
    </row>
    <row r="689" spans="6:10" x14ac:dyDescent="0.45">
      <c r="F689" s="6"/>
      <c r="J689" s="6"/>
    </row>
    <row r="690" spans="6:10" x14ac:dyDescent="0.45">
      <c r="F690" s="6"/>
      <c r="J690" s="6"/>
    </row>
    <row r="691" spans="6:10" x14ac:dyDescent="0.45">
      <c r="F691" s="6"/>
      <c r="J691" s="6"/>
    </row>
    <row r="692" spans="6:10" x14ac:dyDescent="0.45">
      <c r="F692" s="6"/>
      <c r="J692" s="6"/>
    </row>
    <row r="710" spans="4:8" x14ac:dyDescent="0.45">
      <c r="D710" s="6"/>
      <c r="H710" s="6"/>
    </row>
    <row r="711" spans="4:8" x14ac:dyDescent="0.45">
      <c r="D711" s="6"/>
      <c r="H711" s="6"/>
    </row>
    <row r="712" spans="4:8" x14ac:dyDescent="0.45">
      <c r="D712" s="6"/>
      <c r="H712" s="6"/>
    </row>
    <row r="713" spans="4:8" x14ac:dyDescent="0.45">
      <c r="D713" s="6"/>
      <c r="H713" s="6"/>
    </row>
    <row r="779" spans="6:10" x14ac:dyDescent="0.45">
      <c r="F779" s="6"/>
      <c r="J779" s="6"/>
    </row>
    <row r="780" spans="6:10" x14ac:dyDescent="0.45">
      <c r="F780" s="6"/>
      <c r="J780" s="6"/>
    </row>
    <row r="781" spans="6:10" x14ac:dyDescent="0.45">
      <c r="F781" s="6"/>
      <c r="J781" s="6"/>
    </row>
    <row r="782" spans="6:10" x14ac:dyDescent="0.45">
      <c r="F782" s="6"/>
      <c r="J782" s="6"/>
    </row>
    <row r="783" spans="6:10" x14ac:dyDescent="0.45">
      <c r="F783" s="6"/>
      <c r="J783" s="6"/>
    </row>
    <row r="784" spans="6:10" x14ac:dyDescent="0.45">
      <c r="F784" s="6"/>
      <c r="J784" s="6"/>
    </row>
    <row r="785" spans="6:10" x14ac:dyDescent="0.45">
      <c r="F785" s="6"/>
      <c r="J785" s="6"/>
    </row>
    <row r="804" spans="4:8" x14ac:dyDescent="0.45">
      <c r="D804" s="6"/>
      <c r="H804" s="6"/>
    </row>
    <row r="805" spans="4:8" x14ac:dyDescent="0.45">
      <c r="D805" s="6"/>
      <c r="H805" s="6"/>
    </row>
    <row r="806" spans="4:8" x14ac:dyDescent="0.45">
      <c r="D806" s="6"/>
      <c r="H806" s="6"/>
    </row>
    <row r="873" spans="6:10" x14ac:dyDescent="0.45">
      <c r="F873" s="6"/>
      <c r="J873" s="6"/>
    </row>
    <row r="874" spans="6:10" x14ac:dyDescent="0.45">
      <c r="F874" s="6"/>
      <c r="J874" s="6"/>
    </row>
    <row r="875" spans="6:10" x14ac:dyDescent="0.45">
      <c r="F875" s="6"/>
      <c r="J875" s="6"/>
    </row>
    <row r="876" spans="6:10" x14ac:dyDescent="0.45">
      <c r="F876" s="6"/>
      <c r="J876" s="6"/>
    </row>
    <row r="877" spans="6:10" x14ac:dyDescent="0.45">
      <c r="F877" s="6"/>
      <c r="J877" s="6"/>
    </row>
    <row r="878" spans="6:10" x14ac:dyDescent="0.45">
      <c r="F878" s="6"/>
      <c r="J878" s="6"/>
    </row>
    <row r="879" spans="6:10" x14ac:dyDescent="0.45">
      <c r="F879" s="6"/>
      <c r="J879" s="6"/>
    </row>
    <row r="897" spans="4:8" x14ac:dyDescent="0.45">
      <c r="D897" s="6"/>
      <c r="H897" s="6"/>
    </row>
    <row r="898" spans="4:8" x14ac:dyDescent="0.45">
      <c r="D898" s="6"/>
      <c r="H898" s="6"/>
    </row>
    <row r="899" spans="4:8" x14ac:dyDescent="0.45">
      <c r="D899" s="6"/>
      <c r="H899" s="6"/>
    </row>
    <row r="900" spans="4:8" x14ac:dyDescent="0.45">
      <c r="D900" s="6"/>
      <c r="H900" s="6"/>
    </row>
    <row r="962" spans="6:10" x14ac:dyDescent="0.45">
      <c r="F962" s="6"/>
      <c r="J962" s="6"/>
    </row>
    <row r="963" spans="6:10" x14ac:dyDescent="0.45">
      <c r="F963" s="6"/>
      <c r="J963" s="6"/>
    </row>
    <row r="964" spans="6:10" x14ac:dyDescent="0.45">
      <c r="F964" s="6"/>
      <c r="J964" s="6"/>
    </row>
    <row r="965" spans="6:10" x14ac:dyDescent="0.45">
      <c r="F965" s="6"/>
      <c r="J965" s="6"/>
    </row>
    <row r="966" spans="6:10" x14ac:dyDescent="0.45">
      <c r="F966" s="6"/>
      <c r="J966" s="6"/>
    </row>
    <row r="967" spans="6:10" x14ac:dyDescent="0.45">
      <c r="F967" s="6"/>
      <c r="J967" s="6"/>
    </row>
    <row r="968" spans="6:10" x14ac:dyDescent="0.45">
      <c r="F968" s="6"/>
      <c r="J968" s="6"/>
    </row>
    <row r="985" spans="4:8" x14ac:dyDescent="0.45">
      <c r="D985" s="6"/>
      <c r="H985" s="6"/>
    </row>
    <row r="986" spans="4:8" x14ac:dyDescent="0.45">
      <c r="D986" s="6"/>
      <c r="H986" s="6"/>
    </row>
    <row r="987" spans="4:8" x14ac:dyDescent="0.45">
      <c r="D987" s="6"/>
      <c r="H987" s="6"/>
    </row>
    <row r="1025" spans="4:8" x14ac:dyDescent="0.45">
      <c r="D1025" s="9"/>
      <c r="H1025" s="9"/>
    </row>
    <row r="1026" spans="4:8" x14ac:dyDescent="0.45">
      <c r="D1026" s="9"/>
      <c r="H1026" s="9"/>
    </row>
    <row r="1027" spans="4:8" x14ac:dyDescent="0.45">
      <c r="D1027" s="9"/>
      <c r="H1027" s="9"/>
    </row>
    <row r="1028" spans="4:8" x14ac:dyDescent="0.45">
      <c r="D1028" s="9"/>
      <c r="H1028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Lb = 0.1L m (2)</vt:lpstr>
      <vt:lpstr>Lb = 0.1L m</vt:lpstr>
      <vt:lpstr>Lb = 10m</vt:lpstr>
      <vt:lpstr>Lb = 10m (2)</vt:lpstr>
      <vt:lpstr>Lb = 40m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Dewa Gede Pradnyanata</dc:creator>
  <cp:lastModifiedBy>Dewa Gede Pradnyanata</cp:lastModifiedBy>
  <dcterms:created xsi:type="dcterms:W3CDTF">2026-06-14T17:48:09Z</dcterms:created>
  <dcterms:modified xsi:type="dcterms:W3CDTF">2026-08-23T09:07:00Z</dcterms:modified>
</cp:coreProperties>
</file>